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3"/>
  <workbookPr/>
  <xr:revisionPtr revIDLastSave="0" documentId="8_{29AC7280-CF83-48BA-83D2-FFEF8FC54B4F}" xr6:coauthVersionLast="47" xr6:coauthVersionMax="47" xr10:uidLastSave="{00000000-0000-0000-0000-000000000000}"/>
  <bookViews>
    <workbookView xWindow="240" yWindow="105" windowWidth="14805" windowHeight="8010" firstSheet="8" activeTab="8" xr2:uid="{00000000-000D-0000-FFFF-FFFF00000000}"/>
  </bookViews>
  <sheets>
    <sheet name="Country Tuition" sheetId="3" r:id="rId1"/>
    <sheet name="Health Index Country" sheetId="11" r:id="rId2"/>
    <sheet name="Education Index" sheetId="12" r:id="rId3"/>
    <sheet name="Country 1% Share" sheetId="2" r:id="rId4"/>
    <sheet name="Country Social GDP" sheetId="8" r:id="rId5"/>
    <sheet name="Gini Country" sheetId="9" r:id="rId6"/>
    <sheet name="Country Poverty" sheetId="23" r:id="rId7"/>
    <sheet name="Extreme Poverty" sheetId="24" r:id="rId8"/>
    <sheet name="GDP Country" sheetId="25" r:id="rId9"/>
    <sheet name="Global Social Mobility Index" sheetId="20" r:id="rId10"/>
    <sheet name="House Affordability Index" sheetId="21" r:id="rId11"/>
    <sheet name="Corruption Country" sheetId="10" r:id="rId12"/>
    <sheet name="Universal Healthcare" sheetId="22" r:id="rId13"/>
    <sheet name="Medicare Premiums" sheetId="4" r:id="rId14"/>
    <sheet name="US House Price Index" sheetId="13" r:id="rId15"/>
    <sheet name="Tuition v Time" sheetId="6" r:id="rId16"/>
    <sheet name="P( Children Inc. Surpass Fath)" sheetId="5" r:id="rId17"/>
    <sheet name="Median Income Time" sheetId="14" r:id="rId18"/>
    <sheet name="Save Rate Time" sheetId="16" r:id="rId19"/>
    <sheet name="Gini Time" sheetId="17" r:id="rId20"/>
    <sheet name="Time Wealth Share" sheetId="19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4" l="1"/>
  <c r="C3" i="14"/>
  <c r="D18" i="6"/>
  <c r="D2" i="4"/>
  <c r="D3" i="4"/>
  <c r="D58" i="4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A4" i="19"/>
  <c r="A5" i="19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" i="19"/>
  <c r="C4" i="14"/>
  <c r="C5" i="14"/>
  <c r="C6" i="14"/>
  <c r="C7" i="14"/>
  <c r="C8" i="14"/>
  <c r="C9" i="14"/>
  <c r="C10" i="14"/>
  <c r="C11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2" i="14"/>
  <c r="D9" i="6"/>
  <c r="D29" i="6"/>
  <c r="D24" i="6"/>
  <c r="D19" i="6"/>
  <c r="D14" i="6"/>
  <c r="D4" i="6"/>
  <c r="D5" i="6"/>
  <c r="D6" i="6"/>
  <c r="D7" i="6"/>
  <c r="D8" i="6"/>
  <c r="D10" i="6"/>
  <c r="D11" i="6"/>
  <c r="D12" i="6"/>
  <c r="D13" i="6"/>
  <c r="D15" i="6"/>
  <c r="D16" i="6"/>
  <c r="D17" i="6"/>
  <c r="D20" i="6"/>
  <c r="D21" i="6"/>
  <c r="D22" i="6"/>
  <c r="D23" i="6"/>
  <c r="D25" i="6"/>
  <c r="D26" i="6"/>
  <c r="D27" i="6"/>
  <c r="D28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3" i="6"/>
  <c r="D2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</calcChain>
</file>

<file path=xl/sharedStrings.xml><?xml version="1.0" encoding="utf-8"?>
<sst xmlns="http://schemas.openxmlformats.org/spreadsheetml/2006/main" count="1778" uniqueCount="464">
  <si>
    <t>Country</t>
  </si>
  <si>
    <t>Cost of One Year at University(€)</t>
  </si>
  <si>
    <t>Tuition Fees in USD</t>
  </si>
  <si>
    <t>Argentina</t>
  </si>
  <si>
    <t>Australia</t>
  </si>
  <si>
    <t>Austria</t>
  </si>
  <si>
    <t>Belgium</t>
  </si>
  <si>
    <t>Brazil</t>
  </si>
  <si>
    <t>Bulgaria</t>
  </si>
  <si>
    <t>Canada</t>
  </si>
  <si>
    <t>Chile</t>
  </si>
  <si>
    <t>China</t>
  </si>
  <si>
    <t>Czechia</t>
  </si>
  <si>
    <t>Denmark</t>
  </si>
  <si>
    <t>United Kingdom</t>
  </si>
  <si>
    <t>Finland</t>
  </si>
  <si>
    <t>France</t>
  </si>
  <si>
    <t>Germany</t>
  </si>
  <si>
    <t>Greece</t>
  </si>
  <si>
    <t>Hong Kong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</si>
  <si>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</si>
  <si>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</si>
  <si>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</si>
  <si>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</si>
  <si>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</si>
  <si>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</si>
  <si>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</si>
  <si>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</si>
  <si>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Lithuania</t>
  </si>
  <si>
    <t>Malaysia</t>
  </si>
  <si>
    <t>Mexico</t>
  </si>
  <si>
    <t>Netherlands</t>
  </si>
  <si>
    <t>New Zealand</t>
  </si>
  <si>
    <t>Nigeria</t>
  </si>
  <si>
    <t>Northern Ireland</t>
  </si>
  <si>
    <t>Norway</t>
  </si>
  <si>
    <t>Poland</t>
  </si>
  <si>
    <t>Portugal</t>
  </si>
  <si>
    <t>Romania</t>
  </si>
  <si>
    <t>Russia</t>
  </si>
  <si>
    <t>Saudi Arabia</t>
  </si>
  <si>
    <t>Scotland</t>
  </si>
  <si>
    <t>Singapore</t>
  </si>
  <si>
    <t>South Africa</t>
  </si>
  <si>
    <t>South Korea</t>
  </si>
  <si>
    <t>Spain</t>
  </si>
  <si>
    <t>Sweden</t>
  </si>
  <si>
    <t>Switzerland</t>
  </si>
  <si>
    <t>Turkey</t>
  </si>
  <si>
    <t>United Arab Emirates</t>
  </si>
  <si>
    <t>Ukraine</t>
  </si>
  <si>
    <t>United States</t>
  </si>
  <si>
    <t>Wales</t>
  </si>
  <si>
    <t>Health Care Index</t>
  </si>
  <si>
    <t>Health Expenditure Index</t>
  </si>
  <si>
    <t>Albania</t>
  </si>
  <si>
    <t>Algeria</t>
  </si>
  <si>
    <t>Azerbaijan</t>
  </si>
  <si>
    <t>Bangladesh</t>
  </si>
  <si>
    <t>Belarus</t>
  </si>
  <si>
    <t>Bosnia And Herzegovina</t>
  </si>
  <si>
    <t>Colombia</t>
  </si>
  <si>
    <t>Costa Rica</t>
  </si>
  <si>
    <t>Croatia</t>
  </si>
  <si>
    <t>Cyprus</t>
  </si>
  <si>
    <t>Czech Republic</t>
  </si>
  <si>
    <t>Dominican Republic</t>
  </si>
  <si>
    <t>Ecuador</t>
  </si>
  <si>
    <t>Egypt</t>
  </si>
  <si>
    <t>Estonia</t>
  </si>
  <si>
    <t>Georgia</t>
  </si>
  <si>
    <t>Guatemala</t>
  </si>
  <si>
    <t>Hong Kong (China)</t>
  </si>
  <si>
    <t>Hungary</t>
  </si>
  <si>
    <t>Iran</t>
  </si>
  <si>
    <t>Iraq</t>
  </si>
  <si>
    <t>Jordan</t>
  </si>
  <si>
    <t>Kazakhstan</t>
  </si>
  <si>
    <t>Kenya</t>
  </si>
  <si>
    <t>Kuwait</t>
  </si>
  <si>
    <t>Latvia</t>
  </si>
  <si>
    <t>Lebanon</t>
  </si>
  <si>
    <t>Luxembourg</t>
  </si>
  <si>
    <t>Malta</t>
  </si>
  <si>
    <t>Morocco</t>
  </si>
  <si>
    <t>Nepal</t>
  </si>
  <si>
    <t>North Macedonia</t>
  </si>
  <si>
    <t>Oman</t>
  </si>
  <si>
    <t>Pakistan</t>
  </si>
  <si>
    <t>Panama</t>
  </si>
  <si>
    <t>Peru</t>
  </si>
  <si>
    <t>Philippines</t>
  </si>
  <si>
    <t>Puerto Rico</t>
  </si>
  <si>
    <t>Qatar</t>
  </si>
  <si>
    <t>Serbia</t>
  </si>
  <si>
    <t>Slovakia</t>
  </si>
  <si>
    <t>Slovenia</t>
  </si>
  <si>
    <t>Sri Lanka</t>
  </si>
  <si>
    <t>Taiwan</t>
  </si>
  <si>
    <t>Thailand</t>
  </si>
  <si>
    <t>Trinidad And Tobago</t>
  </si>
  <si>
    <t>Tunisia</t>
  </si>
  <si>
    <t>Uruguay</t>
  </si>
  <si>
    <t>Venezuela</t>
  </si>
  <si>
    <t>Vietnam</t>
  </si>
  <si>
    <t>2021 Education Index</t>
  </si>
  <si>
    <t>Afghanistan</t>
  </si>
  <si>
    <t>Andorra</t>
  </si>
  <si>
    <t>Angola</t>
  </si>
  <si>
    <t>Antigua and Barbuda</t>
  </si>
  <si>
    <t>Armenia</t>
  </si>
  <si>
    <t>Bahamas</t>
  </si>
  <si>
    <t>Bahrain</t>
  </si>
  <si>
    <t>Barbados</t>
  </si>
  <si>
    <t>Belize</t>
  </si>
  <si>
    <t>Benin</t>
  </si>
  <si>
    <t>Bhutan</t>
  </si>
  <si>
    <t>Bolivia</t>
  </si>
  <si>
    <t>Bosnia and Herzegovina</t>
  </si>
  <si>
    <t>Botswana</t>
  </si>
  <si>
    <t>Brunei</t>
  </si>
  <si>
    <t>Burkina Faso</t>
  </si>
  <si>
    <t>Burundi</t>
  </si>
  <si>
    <t>Cambodia</t>
  </si>
  <si>
    <t>Cameroon</t>
  </si>
  <si>
    <t>Cape Verde</t>
  </si>
  <si>
    <t>Central African Republic</t>
  </si>
  <si>
    <t>Chad</t>
  </si>
  <si>
    <t>Comoros</t>
  </si>
  <si>
    <t>Cuba</t>
  </si>
  <si>
    <t>Djibouti</t>
  </si>
  <si>
    <t>Dominica</t>
  </si>
  <si>
    <t>DR Congo</t>
  </si>
  <si>
    <t>El Salvador</t>
  </si>
  <si>
    <t>Equatorial Guinea</t>
  </si>
  <si>
    <t>Eritrea</t>
  </si>
  <si>
    <t>Eswatini</t>
  </si>
  <si>
    <t>Ethiopia</t>
  </si>
  <si>
    <t>Fiji</t>
  </si>
  <si>
    <t>Gabon</t>
  </si>
  <si>
    <t>Gambia</t>
  </si>
  <si>
    <t>Ghana</t>
  </si>
  <si>
    <t>Grenada</t>
  </si>
  <si>
    <t>Guinea</t>
  </si>
  <si>
    <t>Guinea Bissau</t>
  </si>
  <si>
    <t>Guyana</t>
  </si>
  <si>
    <t>Haiti</t>
  </si>
  <si>
    <t>Honduras</t>
  </si>
  <si>
    <t>Ivory Coast</t>
  </si>
  <si>
    <t>Kiribati</t>
  </si>
  <si>
    <t>Kyrgyzstan</t>
  </si>
  <si>
    <t>Laos</t>
  </si>
  <si>
    <t>Lesotho</t>
  </si>
  <si>
    <t>Liberia</t>
  </si>
  <si>
    <t>Libya</t>
  </si>
  <si>
    <t>Liechtenstein</t>
  </si>
  <si>
    <t>Madagascar</t>
  </si>
  <si>
    <t>Malawi</t>
  </si>
  <si>
    <t>Maldives</t>
  </si>
  <si>
    <t>Mali</t>
  </si>
  <si>
    <t>Marshall Islands</t>
  </si>
  <si>
    <t>Mauritania</t>
  </si>
  <si>
    <t>Mauritius</t>
  </si>
  <si>
    <t>Moldova</t>
  </si>
  <si>
    <t>Mongolia</t>
  </si>
  <si>
    <t>Montenegro</t>
  </si>
  <si>
    <t>Mozambique</t>
  </si>
  <si>
    <t>Myanmar</t>
  </si>
  <si>
    <t>Namibia</t>
  </si>
  <si>
    <t>Nicaragua</t>
  </si>
  <si>
    <t>Niger</t>
  </si>
  <si>
    <t>Palau</t>
  </si>
  <si>
    <t>Palestine</t>
  </si>
  <si>
    <t>Papua New Guinea</t>
  </si>
  <si>
    <t>Paraguay</t>
  </si>
  <si>
    <t>Republic of the Congo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</si>
  <si>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</si>
  <si>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</si>
  <si>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</si>
  <si>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</si>
  <si>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</si>
  <si>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</si>
  <si>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</si>
  <si>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Senegal</t>
  </si>
  <si>
    <t>Seychelles</t>
  </si>
  <si>
    <t>Sierra Leone</t>
  </si>
  <si>
    <t>Solomon Islands</t>
  </si>
  <si>
    <t>South Sudan</t>
  </si>
  <si>
    <t>Sudan</t>
  </si>
  <si>
    <t>Suriname</t>
  </si>
  <si>
    <t>Syria</t>
  </si>
  <si>
    <t>Tajikistan</t>
  </si>
  <si>
    <t>Tanzania</t>
  </si>
  <si>
    <t>Timor Leste</t>
  </si>
  <si>
    <t>Togo</t>
  </si>
  <si>
    <t>Tonga</t>
  </si>
  <si>
    <t>Trinidad and Tobago</t>
  </si>
  <si>
    <t>Turkmenistan</t>
  </si>
  <si>
    <t>Tuvalu</t>
  </si>
  <si>
    <t>Uganda</t>
  </si>
  <si>
    <t>Uzbekistan</t>
  </si>
  <si>
    <t>Vanuatu</t>
  </si>
  <si>
    <t>Yemen</t>
  </si>
  <si>
    <t>Zambia</t>
  </si>
  <si>
    <t>Zimbabwe</t>
  </si>
  <si>
    <t>% of income of the richest 1%</t>
  </si>
  <si>
    <t>Anguilla</t>
  </si>
  <si>
    <t>Aruba</t>
  </si>
  <si>
    <t>Bermuda</t>
  </si>
  <si>
    <t>Bonaire Sint Eustatius and Saba</t>
  </si>
  <si>
    <t>British Virgin Islands</t>
  </si>
  <si>
    <t>Cayman Islands</t>
  </si>
  <si>
    <t>Congo</t>
  </si>
  <si>
    <t>Cote d'Ivoire</t>
  </si>
  <si>
    <t>Curacao</t>
  </si>
  <si>
    <t>Democratic Republic of Congo</t>
  </si>
  <si>
    <t>East Germany</t>
  </si>
  <si>
    <t>East Timor</t>
  </si>
  <si>
    <t>French Polynesia</t>
  </si>
  <si>
    <t>Gibraltar</t>
  </si>
  <si>
    <t>Greenland</t>
  </si>
  <si>
    <t>Guernsey</t>
  </si>
  <si>
    <t>Guinea-Bissau</t>
  </si>
  <si>
    <t>Isle of Man</t>
  </si>
  <si>
    <t>Jersey</t>
  </si>
  <si>
    <t>Kosovo</t>
  </si>
  <si>
    <t>Macao</t>
  </si>
  <si>
    <t>Micronesia (country)</t>
  </si>
  <si>
    <t>Monaco</t>
  </si>
  <si>
    <t>Montserrat</t>
  </si>
  <si>
    <t>Nauru</t>
  </si>
  <si>
    <t>New Caledonia</t>
  </si>
  <si>
    <t>North Korea</t>
  </si>
  <si>
    <t>Sint Maarten (Dutch part)</t>
  </si>
  <si>
    <t>Somalia</t>
  </si>
  <si>
    <t>Turks and Caicos Islands</t>
  </si>
  <si>
    <t>Social Welfare Spending as % of GDP - 2019</t>
  </si>
  <si>
    <t>Gini Coefficient</t>
  </si>
  <si>
    <t>Timor-Leste</t>
  </si>
  <si>
    <t>Poverty Rate</t>
  </si>
  <si>
    <t>Korea</t>
  </si>
  <si>
    <t>Türkiye</t>
  </si>
  <si>
    <t>Slovak Rep.</t>
  </si>
  <si>
    <t>Extreme Poverty Rate</t>
  </si>
  <si>
    <t>Rank</t>
  </si>
  <si>
    <t>GDP</t>
  </si>
  <si>
    <t>GDP Per Capita</t>
  </si>
  <si>
    <t>% of World GDP</t>
  </si>
  <si>
    <t>$25.463 trillion</t>
  </si>
  <si>
    <t>$17.963 trillion</t>
  </si>
  <si>
    <t>$4.231 trillion</t>
  </si>
  <si>
    <t>$4.072 trillion</t>
  </si>
  <si>
    <t>$3.385 trillion</t>
  </si>
  <si>
    <t>$3.071 trillion</t>
  </si>
  <si>
    <t>$2.783 trillion</t>
  </si>
  <si>
    <t>$2.240 trillion</t>
  </si>
  <si>
    <t>$2.140 trillion</t>
  </si>
  <si>
    <t>$2.010 trillion</t>
  </si>
  <si>
    <t>$1.920 trillion</t>
  </si>
  <si>
    <t>$1.675 trillion</t>
  </si>
  <si>
    <t>$1.665 trillion</t>
  </si>
  <si>
    <t>$1.414 trillion</t>
  </si>
  <si>
    <t>$1.398 trillion</t>
  </si>
  <si>
    <t>$1.319 trillion</t>
  </si>
  <si>
    <t>$1.108 trillion</t>
  </si>
  <si>
    <t>$991 billion</t>
  </si>
  <si>
    <t>$906 billion</t>
  </si>
  <si>
    <t>$808 billion</t>
  </si>
  <si>
    <t>$688 billion</t>
  </si>
  <si>
    <t>$633 billion</t>
  </si>
  <si>
    <t>$586 billion</t>
  </si>
  <si>
    <t>$579 billion</t>
  </si>
  <si>
    <t>$529 billion</t>
  </si>
  <si>
    <t>$522 billion</t>
  </si>
  <si>
    <t>$508 billion</t>
  </si>
  <si>
    <t>$495 billion</t>
  </si>
  <si>
    <t>$477 billion</t>
  </si>
  <si>
    <t>$471 billion</t>
  </si>
  <si>
    <t>$467 billion</t>
  </si>
  <si>
    <t>$460 billion</t>
  </si>
  <si>
    <t>$409 billion</t>
  </si>
  <si>
    <t>$406 billion</t>
  </si>
  <si>
    <t>$404 billion</t>
  </si>
  <si>
    <t>$395 billion</t>
  </si>
  <si>
    <t>$389 billion</t>
  </si>
  <si>
    <t>$377 billion</t>
  </si>
  <si>
    <t>$360 billion</t>
  </si>
  <si>
    <t>$344 billion</t>
  </si>
  <si>
    <t>$301 billion</t>
  </si>
  <si>
    <t>Czech Republic (Czechia)</t>
  </si>
  <si>
    <t>$291 billion</t>
  </si>
  <si>
    <t>$281 billion</t>
  </si>
  <si>
    <t>$264 billion</t>
  </si>
  <si>
    <t>$252 billion</t>
  </si>
  <si>
    <t>$247 billion</t>
  </si>
  <si>
    <t>$243 billion</t>
  </si>
  <si>
    <t>$237 billion</t>
  </si>
  <si>
    <t>$221 billion</t>
  </si>
  <si>
    <t>$219 billion</t>
  </si>
  <si>
    <t>$192 billion</t>
  </si>
  <si>
    <t>$185 billion</t>
  </si>
  <si>
    <t>$179 billion</t>
  </si>
  <si>
    <t>$161 billion</t>
  </si>
  <si>
    <t>$134 billion</t>
  </si>
  <si>
    <t>$127 billion</t>
  </si>
  <si>
    <t>$115 billion</t>
  </si>
  <si>
    <t>$114 billion</t>
  </si>
  <si>
    <t>$113 billion</t>
  </si>
  <si>
    <t>$107 billion</t>
  </si>
  <si>
    <t>$95.00 billion</t>
  </si>
  <si>
    <t>$89.04 billion</t>
  </si>
  <si>
    <t>$82.27 billion</t>
  </si>
  <si>
    <t>$80.39 billion</t>
  </si>
  <si>
    <t>$78.72 billion</t>
  </si>
  <si>
    <t>$76.52 billion</t>
  </si>
  <si>
    <t>$75.71 billion</t>
  </si>
  <si>
    <t>$74.40 billion</t>
  </si>
  <si>
    <t>$72.84 billion</t>
  </si>
  <si>
    <t>$72.79 billion</t>
  </si>
  <si>
    <t>$71.18 billion</t>
  </si>
  <si>
    <t>$70.96 billion</t>
  </si>
  <si>
    <t>$70.33 billion</t>
  </si>
  <si>
    <t>Côte d'Ivoire</t>
  </si>
  <si>
    <t>$70.02 billion</t>
  </si>
  <si>
    <t>$68.38 billion</t>
  </si>
  <si>
    <t>$63.50 billion</t>
  </si>
  <si>
    <t>$62.12 billion</t>
  </si>
  <si>
    <t>$59.36 billion</t>
  </si>
  <si>
    <t>$58.07 billion</t>
  </si>
  <si>
    <t>$51.66 billion</t>
  </si>
  <si>
    <t>$47.45 billion</t>
  </si>
  <si>
    <t>$46.66 billion</t>
  </si>
  <si>
    <t>$45.75 billion</t>
  </si>
  <si>
    <t>$45.56 billion</t>
  </si>
  <si>
    <t>$44.39 billion</t>
  </si>
  <si>
    <t>$44.34 billion</t>
  </si>
  <si>
    <t>$43.07 billion</t>
  </si>
  <si>
    <t>$41.72 billion</t>
  </si>
  <si>
    <t>$41.15 billion</t>
  </si>
  <si>
    <t>$40.83 billion</t>
  </si>
  <si>
    <t>$38.10 billion</t>
  </si>
  <si>
    <t>$32.49 billion</t>
  </si>
  <si>
    <t>$31.72 billion</t>
  </si>
  <si>
    <t>$30.63 billion</t>
  </si>
  <si>
    <t>$29.96 billion</t>
  </si>
  <si>
    <t>$29.78 billion</t>
  </si>
  <si>
    <t>$28.44 billion</t>
  </si>
  <si>
    <t>$27.90 billion</t>
  </si>
  <si>
    <t>$27.84 billion</t>
  </si>
  <si>
    <t>$27.68 billion</t>
  </si>
  <si>
    <t>$24.61 billion</t>
  </si>
  <si>
    <t>$24.53 billion</t>
  </si>
  <si>
    <t>$21.98 billion</t>
  </si>
  <si>
    <t>$21.23 billion</t>
  </si>
  <si>
    <t>$21.07 billion</t>
  </si>
  <si>
    <t>$20.68 billion</t>
  </si>
  <si>
    <t>$20.35 billion</t>
  </si>
  <si>
    <t>$20.25 billion</t>
  </si>
  <si>
    <t>$19.50 billion</t>
  </si>
  <si>
    <t>State of Palestine</t>
  </si>
  <si>
    <t>$19.11 billion</t>
  </si>
  <si>
    <t>$18.88 billion</t>
  </si>
  <si>
    <t>$18.83 billion</t>
  </si>
  <si>
    <t>$17.85 billion</t>
  </si>
  <si>
    <t>$17.77 billion</t>
  </si>
  <si>
    <t>$17.40 billion</t>
  </si>
  <si>
    <t>$17.10 billion</t>
  </si>
  <si>
    <t>$16.81 billion</t>
  </si>
  <si>
    <t>$16.68 billion</t>
  </si>
  <si>
    <t>$15.72 billion</t>
  </si>
  <si>
    <t>$15.67 billion</t>
  </si>
  <si>
    <t>$15.36 billion</t>
  </si>
  <si>
    <t>$14.95 billion</t>
  </si>
  <si>
    <t>$14.62 billion</t>
  </si>
  <si>
    <t>$14.42 billion</t>
  </si>
  <si>
    <t>$13.97 billion</t>
  </si>
  <si>
    <t>$13.56 billion</t>
  </si>
  <si>
    <t>$13.31 billion</t>
  </si>
  <si>
    <t>$13.16 billion</t>
  </si>
  <si>
    <t>$12.90 billion</t>
  </si>
  <si>
    <t>$12.70 billion</t>
  </si>
  <si>
    <t>$12.61 billion</t>
  </si>
  <si>
    <t>$11.81 billion</t>
  </si>
  <si>
    <t>$10.93 billion</t>
  </si>
  <si>
    <t>$10.49 billion</t>
  </si>
  <si>
    <t>$10.38 billion</t>
  </si>
  <si>
    <t>$8.13 billion</t>
  </si>
  <si>
    <t>$6.19 billion</t>
  </si>
  <si>
    <t>$6.10 billion</t>
  </si>
  <si>
    <t>$5.64 billion</t>
  </si>
  <si>
    <t>$4.94 billion</t>
  </si>
  <si>
    <t>$4.85 billion</t>
  </si>
  <si>
    <t>$4.00 billion</t>
  </si>
  <si>
    <t>$3.97 billion</t>
  </si>
  <si>
    <t>$3.62 billion</t>
  </si>
  <si>
    <t>$3.35 billion</t>
  </si>
  <si>
    <t>$3.16 billion</t>
  </si>
  <si>
    <t>$3.07 billion</t>
  </si>
  <si>
    <t>$2.82 billion</t>
  </si>
  <si>
    <t>$2.55 billion</t>
  </si>
  <si>
    <t>$2.38 billion</t>
  </si>
  <si>
    <t>Cabo Verde</t>
  </si>
  <si>
    <t>$2.31 billion</t>
  </si>
  <si>
    <t>$2.27 billion</t>
  </si>
  <si>
    <t>$2.07 billion</t>
  </si>
  <si>
    <t>$1.76 billion</t>
  </si>
  <si>
    <t>$1.63 billion</t>
  </si>
  <si>
    <t>$1.60 billion</t>
  </si>
  <si>
    <t>$1.59 billion</t>
  </si>
  <si>
    <t>$1.26 billion</t>
  </si>
  <si>
    <t>$1.24 billion</t>
  </si>
  <si>
    <t>$984 million</t>
  </si>
  <si>
    <t>Saint Kitts &amp; Nevis</t>
  </si>
  <si>
    <t>$962 million</t>
  </si>
  <si>
    <t>St. Vincent &amp; Grenadines</t>
  </si>
  <si>
    <t>$949 million</t>
  </si>
  <si>
    <t>$832 million</t>
  </si>
  <si>
    <t>$612 million</t>
  </si>
  <si>
    <t>Sao Tome &amp; Principe</t>
  </si>
  <si>
    <t>$547 million</t>
  </si>
  <si>
    <t>Micronesia</t>
  </si>
  <si>
    <t>$427 million</t>
  </si>
  <si>
    <t>$280 million</t>
  </si>
  <si>
    <t>$223 million</t>
  </si>
  <si>
    <t>$60 million</t>
  </si>
  <si>
    <t>Index Score</t>
  </si>
  <si>
    <t>Housing Affordability Index</t>
  </si>
  <si>
    <t>Mortgage as a % of Income</t>
  </si>
  <si>
    <t>Price to Income Ratio</t>
  </si>
  <si>
    <t>CPI Score - 2023</t>
  </si>
  <si>
    <t>Democratic Republic of the Congo</t>
  </si>
  <si>
    <t>Universal Healthcare</t>
  </si>
  <si>
    <t>Yes</t>
  </si>
  <si>
    <t>Year</t>
  </si>
  <si>
    <t>Standard Monthly Premium (Before Income Adjustments)</t>
  </si>
  <si>
    <t>Value in 2024 Dollars</t>
  </si>
  <si>
    <t>Healthcare Premium Index</t>
  </si>
  <si>
    <t>House Price Index - Real Dollars</t>
  </si>
  <si>
    <t xml:space="preserve"> </t>
  </si>
  <si>
    <t>Total tuition, fees, room, and board - All Institutions (Public &amp; Private) - Nominal Dollars</t>
  </si>
  <si>
    <t>Total tuition, fees, room, and board - All Institutions (Public &amp; Private) - 2022 Dollars</t>
  </si>
  <si>
    <t>Tuition Index</t>
  </si>
  <si>
    <t xml:space="preserve">
1,983</t>
  </si>
  <si>
    <t xml:space="preserve">
2,809</t>
  </si>
  <si>
    <t xml:space="preserve">
4,563</t>
  </si>
  <si>
    <t xml:space="preserve">
6,207</t>
  </si>
  <si>
    <t xml:space="preserve">
8,306</t>
  </si>
  <si>
    <t xml:space="preserve">
10,430</t>
  </si>
  <si>
    <t>ui</t>
  </si>
  <si>
    <t xml:space="preserve">
13,793</t>
  </si>
  <si>
    <t xml:space="preserve">
17,650</t>
  </si>
  <si>
    <t xml:space="preserve">
21,729</t>
  </si>
  <si>
    <t xml:space="preserve">
25,280</t>
  </si>
  <si>
    <t>abs_mob_pos_par_fs_ind_p25</t>
  </si>
  <si>
    <t>abs_mob_pos_par_fs_ind_p50</t>
  </si>
  <si>
    <t>abs_mob_pos_par_fs_ind_p75</t>
  </si>
  <si>
    <t>abs_mob_pos_par_fd_ind_p25</t>
  </si>
  <si>
    <t>abs_mob_pos_par_fd_ind_p50</t>
  </si>
  <si>
    <t>abs_mob_pos_par_fd_ind_p75</t>
  </si>
  <si>
    <t xml:space="preserve">Real Median Income </t>
  </si>
  <si>
    <t>Median Income Index</t>
  </si>
  <si>
    <t>Personal Savings Rate</t>
  </si>
  <si>
    <t>Share of Total Wealth Owned by Lowest 50%</t>
  </si>
  <si>
    <t>Share of Total Wealth Owned by Top 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</si>
</sst>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000000E+00"/>
  </numFmts>
  <fonts count="2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5"/>
      <color rgb="FF1B1B1B"/>
      <name val="N26"/>
      <charset val="1"/>
    </font>
    <font>
      <b/>
      <sz val="12"/>
      <color rgb="FF202122"/>
      <name val="Arial"/>
      <charset val="1"/>
    </font>
    <font>
      <sz val="12"/>
      <color rgb="FF202122"/>
      <name val="Arial"/>
      <charset val="1"/>
    </font>
    <font>
      <b/>
      <sz val="14"/>
      <color theme="1"/>
      <name val="Nunito"/>
      <charset val="1"/>
    </font>
    <font>
      <sz val="14"/>
      <color theme="1"/>
      <name val="Nunito"/>
      <charset val="1"/>
    </font>
    <font>
      <sz val="11"/>
      <name val="Calibri"/>
    </font>
    <font>
      <sz val="8"/>
      <color rgb="FF000000"/>
      <name val="Verdana"/>
      <charset val="1"/>
    </font>
    <font>
      <sz val="10"/>
      <name val="Arial"/>
      <family val="2"/>
    </font>
    <font>
      <sz val="11"/>
      <color rgb="FF000000"/>
      <name val="Helvetica"/>
      <family val="2"/>
    </font>
    <font>
      <b/>
      <sz val="11"/>
      <color theme="1"/>
      <name val="Aptos Narrow"/>
      <family val="2"/>
      <scheme val="minor"/>
    </font>
    <font>
      <sz val="8"/>
      <color rgb="FF1F4F4B"/>
      <name val="Lato"/>
      <family val="2"/>
      <charset val="1"/>
    </font>
    <font>
      <sz val="13.5"/>
      <color rgb="FF000000"/>
      <name val="Arial"/>
      <family val="2"/>
      <charset val="1"/>
    </font>
    <font>
      <sz val="12"/>
      <color rgb="FF000000"/>
      <name val="Arial"/>
      <charset val="1"/>
    </font>
    <font>
      <sz val="11"/>
      <color rgb="FF000000"/>
      <name val="Times New Roman"/>
      <family val="1"/>
      <charset val="1"/>
    </font>
    <font>
      <sz val="11"/>
      <color theme="1"/>
      <name val="Aptos Narrow"/>
      <charset val="1"/>
    </font>
    <font>
      <sz val="11"/>
      <color rgb="FF000000"/>
      <name val="Aptos Narrow"/>
      <family val="2"/>
      <scheme val="minor"/>
    </font>
    <font>
      <sz val="11"/>
      <color rgb="FF202122"/>
      <name val="Aptos Narrow"/>
      <scheme val="minor"/>
    </font>
    <font>
      <sz val="11"/>
      <color rgb="FF202122"/>
      <name val="Aptos Narrow"/>
      <charset val="1"/>
    </font>
    <font>
      <sz val="11"/>
      <color rgb="FF5B5B5B"/>
      <name val="Lato"/>
      <charset val="1"/>
    </font>
    <font>
      <sz val="12"/>
      <color rgb="FF222222"/>
      <name val="Noto Sans"/>
      <family val="2"/>
      <charset val="1"/>
    </font>
    <font>
      <b/>
      <sz val="12"/>
      <color rgb="FF222222"/>
      <name val="Noto Sans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7F7F7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 style="thin">
        <color rgb="FFF2F2F2"/>
      </right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 style="thin">
        <color rgb="FF000000"/>
      </left>
      <right style="thin">
        <color rgb="FFE5E7EB"/>
      </right>
      <top style="thin">
        <color rgb="FF000000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000000"/>
      </top>
      <bottom style="thin">
        <color rgb="FFE5E7EB"/>
      </bottom>
      <diagonal/>
    </border>
    <border>
      <left style="thin">
        <color rgb="FFE5E7EB"/>
      </left>
      <right style="thin">
        <color rgb="FF000000"/>
      </right>
      <top style="thin">
        <color rgb="FF000000"/>
      </top>
      <bottom style="thin">
        <color rgb="FFE5E7EB"/>
      </bottom>
      <diagonal/>
    </border>
    <border>
      <left style="thin">
        <color rgb="FF000000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000000"/>
      </right>
      <top style="thin">
        <color rgb="FFE5E7EB"/>
      </top>
      <bottom style="thin">
        <color rgb="FFE5E7EB"/>
      </bottom>
      <diagonal/>
    </border>
    <border>
      <left style="thin">
        <color rgb="FF000000"/>
      </left>
      <right style="thin">
        <color rgb="FFE5E7EB"/>
      </right>
      <top style="thin">
        <color rgb="FFE5E7EB"/>
      </top>
      <bottom style="thin">
        <color rgb="FF00000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000000"/>
      </bottom>
      <diagonal/>
    </border>
    <border>
      <left style="thin">
        <color rgb="FFE5E7EB"/>
      </left>
      <right style="thin">
        <color rgb="FF000000"/>
      </right>
      <top style="thin">
        <color rgb="FFE5E7EB"/>
      </top>
      <bottom style="thin">
        <color rgb="FF00000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9">
    <xf numFmtId="0" fontId="0" fillId="0" borderId="0" xfId="0"/>
    <xf numFmtId="0" fontId="2" fillId="2" borderId="0" xfId="0" applyFont="1" applyFill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2" fontId="6" fillId="0" borderId="0" xfId="0" applyNumberFormat="1" applyFont="1" applyAlignment="1">
      <alignment wrapText="1"/>
    </xf>
    <xf numFmtId="0" fontId="7" fillId="0" borderId="0" xfId="0" applyFont="1"/>
    <xf numFmtId="0" fontId="9" fillId="0" borderId="0" xfId="0" applyFont="1"/>
    <xf numFmtId="0" fontId="0" fillId="2" borderId="2" xfId="0" applyFill="1" applyBorder="1" applyAlignment="1">
      <alignment wrapText="1"/>
    </xf>
    <xf numFmtId="0" fontId="0" fillId="2" borderId="0" xfId="0" applyFill="1"/>
    <xf numFmtId="10" fontId="0" fillId="2" borderId="0" xfId="0" applyNumberFormat="1" applyFill="1"/>
    <xf numFmtId="0" fontId="0" fillId="4" borderId="2" xfId="0" applyFill="1" applyBorder="1" applyAlignment="1">
      <alignment wrapText="1"/>
    </xf>
    <xf numFmtId="0" fontId="0" fillId="4" borderId="0" xfId="0" applyFill="1"/>
    <xf numFmtId="10" fontId="0" fillId="4" borderId="0" xfId="0" applyNumberFormat="1" applyFill="1"/>
    <xf numFmtId="0" fontId="0" fillId="2" borderId="0" xfId="0" quotePrefix="1" applyFill="1"/>
    <xf numFmtId="9" fontId="0" fillId="2" borderId="0" xfId="0" applyNumberFormat="1" applyFill="1"/>
    <xf numFmtId="0" fontId="0" fillId="4" borderId="0" xfId="0" quotePrefix="1" applyFill="1"/>
    <xf numFmtId="9" fontId="0" fillId="4" borderId="0" xfId="0" applyNumberFormat="1" applyFill="1"/>
    <xf numFmtId="0" fontId="12" fillId="0" borderId="3" xfId="0" applyFont="1" applyBorder="1"/>
    <xf numFmtId="0" fontId="13" fillId="5" borderId="0" xfId="0" applyFont="1" applyFill="1" applyAlignment="1">
      <alignment wrapText="1"/>
    </xf>
    <xf numFmtId="0" fontId="13" fillId="6" borderId="0" xfId="0" applyFont="1" applyFill="1" applyAlignment="1">
      <alignment wrapText="1"/>
    </xf>
    <xf numFmtId="0" fontId="13" fillId="2" borderId="4" xfId="0" applyFont="1" applyFill="1" applyBorder="1" applyAlignment="1">
      <alignment wrapText="1"/>
    </xf>
    <xf numFmtId="0" fontId="13" fillId="7" borderId="4" xfId="0" applyFont="1" applyFill="1" applyBorder="1" applyAlignment="1">
      <alignment wrapText="1"/>
    </xf>
    <xf numFmtId="0" fontId="13" fillId="5" borderId="4" xfId="0" applyFont="1" applyFill="1" applyBorder="1" applyAlignment="1">
      <alignment wrapText="1"/>
    </xf>
    <xf numFmtId="0" fontId="13" fillId="6" borderId="4" xfId="0" applyFont="1" applyFill="1" applyBorder="1" applyAlignment="1">
      <alignment wrapText="1"/>
    </xf>
    <xf numFmtId="0" fontId="1" fillId="0" borderId="5" xfId="1" applyBorder="1" applyAlignment="1">
      <alignment wrapText="1"/>
    </xf>
    <xf numFmtId="0" fontId="14" fillId="0" borderId="6" xfId="0" applyFont="1" applyBorder="1" applyAlignment="1">
      <alignment wrapText="1"/>
    </xf>
    <xf numFmtId="0" fontId="14" fillId="0" borderId="7" xfId="0" applyFont="1" applyBorder="1" applyAlignment="1">
      <alignment wrapText="1"/>
    </xf>
    <xf numFmtId="0" fontId="1" fillId="0" borderId="8" xfId="1" applyBorder="1" applyAlignment="1">
      <alignment wrapText="1"/>
    </xf>
    <xf numFmtId="0" fontId="14" fillId="0" borderId="9" xfId="0" applyFont="1" applyBorder="1" applyAlignment="1">
      <alignment wrapText="1"/>
    </xf>
    <xf numFmtId="0" fontId="14" fillId="0" borderId="10" xfId="0" applyFont="1" applyBorder="1" applyAlignment="1">
      <alignment wrapText="1"/>
    </xf>
    <xf numFmtId="0" fontId="1" fillId="0" borderId="11" xfId="1" applyBorder="1" applyAlignment="1">
      <alignment wrapText="1"/>
    </xf>
    <xf numFmtId="0" fontId="14" fillId="0" borderId="12" xfId="0" applyFont="1" applyBorder="1" applyAlignment="1">
      <alignment wrapText="1"/>
    </xf>
    <xf numFmtId="0" fontId="14" fillId="0" borderId="13" xfId="0" applyFont="1" applyBorder="1" applyAlignment="1">
      <alignment wrapText="1"/>
    </xf>
    <xf numFmtId="0" fontId="11" fillId="0" borderId="0" xfId="0" applyFont="1"/>
    <xf numFmtId="6" fontId="8" fillId="8" borderId="14" xfId="0" applyNumberFormat="1" applyFont="1" applyFill="1" applyBorder="1"/>
    <xf numFmtId="0" fontId="0" fillId="8" borderId="14" xfId="0" applyFill="1" applyBorder="1"/>
    <xf numFmtId="0" fontId="8" fillId="8" borderId="14" xfId="0" applyFont="1" applyFill="1" applyBorder="1"/>
    <xf numFmtId="1" fontId="8" fillId="8" borderId="14" xfId="0" applyNumberFormat="1" applyFont="1" applyFill="1" applyBorder="1"/>
    <xf numFmtId="3" fontId="8" fillId="8" borderId="14" xfId="0" applyNumberFormat="1" applyFont="1" applyFill="1" applyBorder="1"/>
    <xf numFmtId="0" fontId="8" fillId="8" borderId="14" xfId="0" applyFont="1" applyFill="1" applyBorder="1" applyAlignment="1">
      <alignment wrapText="1"/>
    </xf>
    <xf numFmtId="1" fontId="8" fillId="8" borderId="14" xfId="0" applyNumberFormat="1" applyFont="1" applyFill="1" applyBorder="1" applyAlignment="1">
      <alignment wrapText="1"/>
    </xf>
    <xf numFmtId="0" fontId="0" fillId="0" borderId="14" xfId="0" applyBorder="1"/>
    <xf numFmtId="0" fontId="0" fillId="8" borderId="15" xfId="0" applyFill="1" applyBorder="1"/>
    <xf numFmtId="6" fontId="8" fillId="8" borderId="15" xfId="0" applyNumberFormat="1" applyFont="1" applyFill="1" applyBorder="1"/>
    <xf numFmtId="0" fontId="8" fillId="8" borderId="15" xfId="0" applyFont="1" applyFill="1" applyBorder="1"/>
    <xf numFmtId="0" fontId="8" fillId="8" borderId="15" xfId="0" applyFont="1" applyFill="1" applyBorder="1" applyAlignment="1">
      <alignment wrapText="1"/>
    </xf>
    <xf numFmtId="3" fontId="8" fillId="8" borderId="15" xfId="0" applyNumberFormat="1" applyFont="1" applyFill="1" applyBorder="1"/>
    <xf numFmtId="0" fontId="0" fillId="0" borderId="15" xfId="0" applyBorder="1"/>
    <xf numFmtId="0" fontId="15" fillId="8" borderId="14" xfId="0" applyFont="1" applyFill="1" applyBorder="1" applyAlignment="1">
      <alignment readingOrder="1"/>
    </xf>
    <xf numFmtId="0" fontId="16" fillId="0" borderId="14" xfId="0" applyFont="1" applyBorder="1" applyAlignment="1">
      <alignment readingOrder="1"/>
    </xf>
    <xf numFmtId="0" fontId="16" fillId="0" borderId="15" xfId="0" applyFont="1" applyBorder="1" applyAlignment="1">
      <alignment readingOrder="1"/>
    </xf>
    <xf numFmtId="0" fontId="10" fillId="3" borderId="14" xfId="0" applyFont="1" applyFill="1" applyBorder="1"/>
    <xf numFmtId="0" fontId="10" fillId="8" borderId="14" xfId="0" applyFont="1" applyFill="1" applyBorder="1"/>
    <xf numFmtId="0" fontId="17" fillId="0" borderId="0" xfId="1" applyFont="1" applyAlignment="1">
      <alignment wrapText="1"/>
    </xf>
    <xf numFmtId="0" fontId="0" fillId="2" borderId="2" xfId="0" applyFill="1" applyBorder="1" applyAlignment="1">
      <alignment horizontal="left" wrapText="1"/>
    </xf>
    <xf numFmtId="0" fontId="3" fillId="0" borderId="14" xfId="0" applyFont="1" applyBorder="1" applyAlignment="1">
      <alignment wrapText="1"/>
    </xf>
    <xf numFmtId="0" fontId="19" fillId="0" borderId="14" xfId="0" applyFont="1" applyBorder="1" applyAlignment="1">
      <alignment readingOrder="1"/>
    </xf>
    <xf numFmtId="0" fontId="4" fillId="0" borderId="14" xfId="0" applyFont="1" applyBorder="1" applyAlignment="1">
      <alignment wrapText="1"/>
    </xf>
    <xf numFmtId="0" fontId="18" fillId="0" borderId="14" xfId="0" applyFont="1" applyBorder="1" applyAlignment="1">
      <alignment wrapText="1"/>
    </xf>
    <xf numFmtId="0" fontId="17" fillId="0" borderId="0" xfId="1" applyFont="1" applyAlignment="1"/>
    <xf numFmtId="0" fontId="14" fillId="0" borderId="14" xfId="0" applyFont="1" applyBorder="1" applyAlignment="1">
      <alignment wrapText="1"/>
    </xf>
    <xf numFmtId="9" fontId="14" fillId="0" borderId="14" xfId="0" applyNumberFormat="1" applyFont="1" applyBorder="1" applyAlignment="1">
      <alignment wrapText="1"/>
    </xf>
    <xf numFmtId="0" fontId="17" fillId="0" borderId="14" xfId="0" applyFont="1" applyBorder="1"/>
    <xf numFmtId="9" fontId="17" fillId="0" borderId="14" xfId="0" applyNumberFormat="1" applyFont="1" applyBorder="1"/>
    <xf numFmtId="0" fontId="17" fillId="0" borderId="14" xfId="1" applyFont="1" applyBorder="1" applyAlignment="1">
      <alignment wrapText="1"/>
    </xf>
    <xf numFmtId="0" fontId="20" fillId="8" borderId="14" xfId="0" applyFont="1" applyFill="1" applyBorder="1" applyAlignment="1">
      <alignment wrapText="1"/>
    </xf>
    <xf numFmtId="10" fontId="20" fillId="8" borderId="14" xfId="0" applyNumberFormat="1" applyFont="1" applyFill="1" applyBorder="1"/>
    <xf numFmtId="0" fontId="20" fillId="8" borderId="14" xfId="0" applyFont="1" applyFill="1" applyBorder="1"/>
    <xf numFmtId="0" fontId="20" fillId="8" borderId="14" xfId="0" quotePrefix="1" applyFont="1" applyFill="1" applyBorder="1"/>
    <xf numFmtId="9" fontId="20" fillId="8" borderId="14" xfId="0" applyNumberFormat="1" applyFont="1" applyFill="1" applyBorder="1"/>
    <xf numFmtId="0" fontId="21" fillId="5" borderId="16" xfId="0" applyFont="1" applyFill="1" applyBorder="1" applyAlignment="1">
      <alignment wrapText="1"/>
    </xf>
    <xf numFmtId="0" fontId="1" fillId="5" borderId="17" xfId="1" applyFill="1" applyBorder="1" applyAlignment="1">
      <alignment wrapText="1"/>
    </xf>
    <xf numFmtId="0" fontId="22" fillId="5" borderId="17" xfId="0" applyFont="1" applyFill="1" applyBorder="1" applyAlignment="1">
      <alignment wrapText="1"/>
    </xf>
    <xf numFmtId="6" fontId="22" fillId="5" borderId="17" xfId="0" applyNumberFormat="1" applyFont="1" applyFill="1" applyBorder="1" applyAlignment="1">
      <alignment wrapText="1"/>
    </xf>
    <xf numFmtId="10" fontId="22" fillId="5" borderId="17" xfId="0" applyNumberFormat="1" applyFont="1" applyFill="1" applyBorder="1" applyAlignment="1">
      <alignment wrapText="1"/>
    </xf>
    <xf numFmtId="0" fontId="21" fillId="2" borderId="16" xfId="0" applyFont="1" applyFill="1" applyBorder="1" applyAlignment="1">
      <alignment wrapText="1"/>
    </xf>
    <xf numFmtId="0" fontId="1" fillId="2" borderId="17" xfId="1" applyFill="1" applyBorder="1" applyAlignment="1">
      <alignment wrapText="1"/>
    </xf>
    <xf numFmtId="0" fontId="22" fillId="2" borderId="17" xfId="0" applyFont="1" applyFill="1" applyBorder="1" applyAlignment="1">
      <alignment wrapText="1"/>
    </xf>
    <xf numFmtId="6" fontId="22" fillId="2" borderId="17" xfId="0" applyNumberFormat="1" applyFont="1" applyFill="1" applyBorder="1" applyAlignment="1">
      <alignment wrapText="1"/>
    </xf>
    <xf numFmtId="10" fontId="22" fillId="2" borderId="17" xfId="0" applyNumberFormat="1" applyFont="1" applyFill="1" applyBorder="1" applyAlignment="1">
      <alignment wrapText="1"/>
    </xf>
    <xf numFmtId="0" fontId="21" fillId="5" borderId="3" xfId="0" applyFont="1" applyFill="1" applyBorder="1" applyAlignment="1">
      <alignment wrapText="1"/>
    </xf>
    <xf numFmtId="0" fontId="1" fillId="5" borderId="18" xfId="1" applyFill="1" applyBorder="1" applyAlignment="1">
      <alignment wrapText="1"/>
    </xf>
    <xf numFmtId="0" fontId="22" fillId="5" borderId="18" xfId="0" applyFont="1" applyFill="1" applyBorder="1" applyAlignment="1">
      <alignment wrapText="1"/>
    </xf>
    <xf numFmtId="6" fontId="22" fillId="5" borderId="18" xfId="0" applyNumberFormat="1" applyFont="1" applyFill="1" applyBorder="1" applyAlignment="1">
      <alignment wrapText="1"/>
    </xf>
    <xf numFmtId="10" fontId="22" fillId="5" borderId="18" xfId="0" applyNumberFormat="1" applyFont="1" applyFill="1" applyBorder="1" applyAlignment="1">
      <alignment wrapText="1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orldpopulationreview.com/countries/namibia-population" TargetMode="External"/><Relationship Id="rId21" Type="http://schemas.openxmlformats.org/officeDocument/2006/relationships/hyperlink" Target="https://worldpopulationreview.com/countries/bolivia-population" TargetMode="External"/><Relationship Id="rId42" Type="http://schemas.openxmlformats.org/officeDocument/2006/relationships/hyperlink" Target="https://worldpopulationreview.com/countries/cyprus-population" TargetMode="External"/><Relationship Id="rId63" Type="http://schemas.openxmlformats.org/officeDocument/2006/relationships/hyperlink" Target="https://worldpopulationreview.com/countries/germany-population" TargetMode="External"/><Relationship Id="rId84" Type="http://schemas.openxmlformats.org/officeDocument/2006/relationships/hyperlink" Target="https://worldpopulationreview.com/countries/jamaica-population" TargetMode="External"/><Relationship Id="rId138" Type="http://schemas.openxmlformats.org/officeDocument/2006/relationships/hyperlink" Target="https://worldpopulationreview.com/countries/republic-of-the-congo-population" TargetMode="External"/><Relationship Id="rId159" Type="http://schemas.openxmlformats.org/officeDocument/2006/relationships/hyperlink" Target="https://worldpopulationreview.com/countries/south-sudan-population" TargetMode="External"/><Relationship Id="rId170" Type="http://schemas.openxmlformats.org/officeDocument/2006/relationships/hyperlink" Target="https://worldpopulationreview.com/countries/timor--leste-population" TargetMode="External"/><Relationship Id="rId107" Type="http://schemas.openxmlformats.org/officeDocument/2006/relationships/hyperlink" Target="https://worldpopulationreview.com/countries/marshall-islands-population" TargetMode="External"/><Relationship Id="rId11" Type="http://schemas.openxmlformats.org/officeDocument/2006/relationships/hyperlink" Target="https://worldpopulationreview.com/countries/azerbaijan-population" TargetMode="External"/><Relationship Id="rId32" Type="http://schemas.openxmlformats.org/officeDocument/2006/relationships/hyperlink" Target="https://worldpopulationreview.com/countries/cape-verde-population" TargetMode="External"/><Relationship Id="rId53" Type="http://schemas.openxmlformats.org/officeDocument/2006/relationships/hyperlink" Target="https://worldpopulationreview.com/countries/eritrea-population" TargetMode="External"/><Relationship Id="rId74" Type="http://schemas.openxmlformats.org/officeDocument/2006/relationships/hyperlink" Target="https://worldpopulationreview.com/countries/hungary-population" TargetMode="External"/><Relationship Id="rId128" Type="http://schemas.openxmlformats.org/officeDocument/2006/relationships/hyperlink" Target="https://worldpopulationreview.com/countries/palau-population" TargetMode="External"/><Relationship Id="rId149" Type="http://schemas.openxmlformats.org/officeDocument/2006/relationships/hyperlink" Target="https://worldpopulationreview.com/countries/senegal-population" TargetMode="External"/><Relationship Id="rId5" Type="http://schemas.openxmlformats.org/officeDocument/2006/relationships/hyperlink" Target="https://worldpopulationreview.com/countries/angola-population" TargetMode="External"/><Relationship Id="rId95" Type="http://schemas.openxmlformats.org/officeDocument/2006/relationships/hyperlink" Target="https://worldpopulationreview.com/countries/lesotho-population" TargetMode="External"/><Relationship Id="rId160" Type="http://schemas.openxmlformats.org/officeDocument/2006/relationships/hyperlink" Target="https://worldpopulationreview.com/countries/spain-population" TargetMode="External"/><Relationship Id="rId181" Type="http://schemas.openxmlformats.org/officeDocument/2006/relationships/hyperlink" Target="https://worldpopulationreview.com/countries/united-kingdom-population" TargetMode="External"/><Relationship Id="rId22" Type="http://schemas.openxmlformats.org/officeDocument/2006/relationships/hyperlink" Target="https://worldpopulationreview.com/countries/bosnia-and-herzegovina-population" TargetMode="External"/><Relationship Id="rId43" Type="http://schemas.openxmlformats.org/officeDocument/2006/relationships/hyperlink" Target="https://worldpopulationreview.com/countries/czech-republic-population" TargetMode="External"/><Relationship Id="rId64" Type="http://schemas.openxmlformats.org/officeDocument/2006/relationships/hyperlink" Target="https://worldpopulationreview.com/countries/ghana-population" TargetMode="External"/><Relationship Id="rId118" Type="http://schemas.openxmlformats.org/officeDocument/2006/relationships/hyperlink" Target="https://worldpopulationreview.com/countries/nepal-population" TargetMode="External"/><Relationship Id="rId139" Type="http://schemas.openxmlformats.org/officeDocument/2006/relationships/hyperlink" Target="https://worldpopulationreview.com/countries/romania-population" TargetMode="External"/><Relationship Id="rId85" Type="http://schemas.openxmlformats.org/officeDocument/2006/relationships/hyperlink" Target="https://worldpopulationreview.com/countries/japan-population" TargetMode="External"/><Relationship Id="rId150" Type="http://schemas.openxmlformats.org/officeDocument/2006/relationships/hyperlink" Target="https://worldpopulationreview.com/countries/serbia-population" TargetMode="External"/><Relationship Id="rId171" Type="http://schemas.openxmlformats.org/officeDocument/2006/relationships/hyperlink" Target="https://worldpopulationreview.com/countries/togo-population" TargetMode="External"/><Relationship Id="rId12" Type="http://schemas.openxmlformats.org/officeDocument/2006/relationships/hyperlink" Target="https://worldpopulationreview.com/countries/bahamas-population" TargetMode="External"/><Relationship Id="rId33" Type="http://schemas.openxmlformats.org/officeDocument/2006/relationships/hyperlink" Target="https://worldpopulationreview.com/countries/central-african-republic-population" TargetMode="External"/><Relationship Id="rId108" Type="http://schemas.openxmlformats.org/officeDocument/2006/relationships/hyperlink" Target="https://worldpopulationreview.com/countries/mauritania-population" TargetMode="External"/><Relationship Id="rId129" Type="http://schemas.openxmlformats.org/officeDocument/2006/relationships/hyperlink" Target="https://worldpopulationreview.com/countries/palestine-population" TargetMode="External"/><Relationship Id="rId54" Type="http://schemas.openxmlformats.org/officeDocument/2006/relationships/hyperlink" Target="https://worldpopulationreview.com/countries/estonia-population" TargetMode="External"/><Relationship Id="rId75" Type="http://schemas.openxmlformats.org/officeDocument/2006/relationships/hyperlink" Target="https://worldpopulationreview.com/countries/iceland-population" TargetMode="External"/><Relationship Id="rId96" Type="http://schemas.openxmlformats.org/officeDocument/2006/relationships/hyperlink" Target="https://worldpopulationreview.com/countries/liberia-population" TargetMode="External"/><Relationship Id="rId140" Type="http://schemas.openxmlformats.org/officeDocument/2006/relationships/hyperlink" Target="https://worldpopulationreview.com/countries/russia-population" TargetMode="External"/><Relationship Id="rId161" Type="http://schemas.openxmlformats.org/officeDocument/2006/relationships/hyperlink" Target="https://worldpopulationreview.com/countries/sri-lanka-population" TargetMode="External"/><Relationship Id="rId182" Type="http://schemas.openxmlformats.org/officeDocument/2006/relationships/hyperlink" Target="https://worldpopulationreview.com/countries/united-states-population" TargetMode="External"/><Relationship Id="rId6" Type="http://schemas.openxmlformats.org/officeDocument/2006/relationships/hyperlink" Target="https://worldpopulationreview.com/countries/antigua-and-barbuda-population" TargetMode="External"/><Relationship Id="rId23" Type="http://schemas.openxmlformats.org/officeDocument/2006/relationships/hyperlink" Target="https://worldpopulationreview.com/countries/botswana-population" TargetMode="External"/><Relationship Id="rId119" Type="http://schemas.openxmlformats.org/officeDocument/2006/relationships/hyperlink" Target="https://worldpopulationreview.com/countries/netherlands-population" TargetMode="External"/><Relationship Id="rId44" Type="http://schemas.openxmlformats.org/officeDocument/2006/relationships/hyperlink" Target="https://worldpopulationreview.com/countries/denmark-population" TargetMode="External"/><Relationship Id="rId65" Type="http://schemas.openxmlformats.org/officeDocument/2006/relationships/hyperlink" Target="https://worldpopulationreview.com/countries/greece-population" TargetMode="External"/><Relationship Id="rId86" Type="http://schemas.openxmlformats.org/officeDocument/2006/relationships/hyperlink" Target="https://worldpopulationreview.com/countries/jordan-population" TargetMode="External"/><Relationship Id="rId130" Type="http://schemas.openxmlformats.org/officeDocument/2006/relationships/hyperlink" Target="https://worldpopulationreview.com/countries/panama-population" TargetMode="External"/><Relationship Id="rId151" Type="http://schemas.openxmlformats.org/officeDocument/2006/relationships/hyperlink" Target="https://worldpopulationreview.com/countries/seychelles-population" TargetMode="External"/><Relationship Id="rId172" Type="http://schemas.openxmlformats.org/officeDocument/2006/relationships/hyperlink" Target="https://worldpopulationreview.com/countries/tonga-population" TargetMode="External"/><Relationship Id="rId13" Type="http://schemas.openxmlformats.org/officeDocument/2006/relationships/hyperlink" Target="https://worldpopulationreview.com/countries/bahrain-population" TargetMode="External"/><Relationship Id="rId18" Type="http://schemas.openxmlformats.org/officeDocument/2006/relationships/hyperlink" Target="https://worldpopulationreview.com/countries/belize-population" TargetMode="External"/><Relationship Id="rId39" Type="http://schemas.openxmlformats.org/officeDocument/2006/relationships/hyperlink" Target="https://worldpopulationreview.com/countries/costa-rica-population" TargetMode="External"/><Relationship Id="rId109" Type="http://schemas.openxmlformats.org/officeDocument/2006/relationships/hyperlink" Target="https://worldpopulationreview.com/countries/mauritius-population" TargetMode="External"/><Relationship Id="rId34" Type="http://schemas.openxmlformats.org/officeDocument/2006/relationships/hyperlink" Target="https://worldpopulationreview.com/countries/chad-population" TargetMode="External"/><Relationship Id="rId50" Type="http://schemas.openxmlformats.org/officeDocument/2006/relationships/hyperlink" Target="https://worldpopulationreview.com/countries/egypt-population" TargetMode="External"/><Relationship Id="rId55" Type="http://schemas.openxmlformats.org/officeDocument/2006/relationships/hyperlink" Target="https://worldpopulationreview.com/countries/eswatini-population" TargetMode="External"/><Relationship Id="rId76" Type="http://schemas.openxmlformats.org/officeDocument/2006/relationships/hyperlink" Target="https://worldpopulationreview.com/countries/india-population" TargetMode="External"/><Relationship Id="rId97" Type="http://schemas.openxmlformats.org/officeDocument/2006/relationships/hyperlink" Target="https://worldpopulationreview.com/countries/libya-population" TargetMode="External"/><Relationship Id="rId104" Type="http://schemas.openxmlformats.org/officeDocument/2006/relationships/hyperlink" Target="https://worldpopulationreview.com/countries/maldives-population" TargetMode="External"/><Relationship Id="rId120" Type="http://schemas.openxmlformats.org/officeDocument/2006/relationships/hyperlink" Target="https://worldpopulationreview.com/countries/new-zealand-population" TargetMode="External"/><Relationship Id="rId125" Type="http://schemas.openxmlformats.org/officeDocument/2006/relationships/hyperlink" Target="https://worldpopulationreview.com/countries/norway-population" TargetMode="External"/><Relationship Id="rId141" Type="http://schemas.openxmlformats.org/officeDocument/2006/relationships/hyperlink" Target="https://worldpopulationreview.com/countries/rwanda-population" TargetMode="External"/><Relationship Id="rId146" Type="http://schemas.openxmlformats.org/officeDocument/2006/relationships/hyperlink" Target="https://worldpopulationreview.com/countries/san-marino-population" TargetMode="External"/><Relationship Id="rId167" Type="http://schemas.openxmlformats.org/officeDocument/2006/relationships/hyperlink" Target="https://worldpopulationreview.com/countries/tajikistan-population" TargetMode="External"/><Relationship Id="rId188" Type="http://schemas.openxmlformats.org/officeDocument/2006/relationships/hyperlink" Target="https://worldpopulationreview.com/countries/zambia-population" TargetMode="External"/><Relationship Id="rId7" Type="http://schemas.openxmlformats.org/officeDocument/2006/relationships/hyperlink" Target="https://worldpopulationreview.com/countries/argentina-population" TargetMode="External"/><Relationship Id="rId71" Type="http://schemas.openxmlformats.org/officeDocument/2006/relationships/hyperlink" Target="https://worldpopulationreview.com/countries/haiti-population" TargetMode="External"/><Relationship Id="rId92" Type="http://schemas.openxmlformats.org/officeDocument/2006/relationships/hyperlink" Target="https://worldpopulationreview.com/countries/laos-population" TargetMode="External"/><Relationship Id="rId162" Type="http://schemas.openxmlformats.org/officeDocument/2006/relationships/hyperlink" Target="https://worldpopulationreview.com/countries/sudan-population" TargetMode="External"/><Relationship Id="rId183" Type="http://schemas.openxmlformats.org/officeDocument/2006/relationships/hyperlink" Target="https://worldpopulationreview.com/countries/uruguay-population" TargetMode="External"/><Relationship Id="rId2" Type="http://schemas.openxmlformats.org/officeDocument/2006/relationships/hyperlink" Target="https://worldpopulationreview.com/countries/albania-population" TargetMode="External"/><Relationship Id="rId29" Type="http://schemas.openxmlformats.org/officeDocument/2006/relationships/hyperlink" Target="https://worldpopulationreview.com/countries/cambodia-population" TargetMode="External"/><Relationship Id="rId24" Type="http://schemas.openxmlformats.org/officeDocument/2006/relationships/hyperlink" Target="https://worldpopulationreview.com/countries/brazil-population" TargetMode="External"/><Relationship Id="rId40" Type="http://schemas.openxmlformats.org/officeDocument/2006/relationships/hyperlink" Target="https://worldpopulationreview.com/countries/croatia-population" TargetMode="External"/><Relationship Id="rId45" Type="http://schemas.openxmlformats.org/officeDocument/2006/relationships/hyperlink" Target="https://worldpopulationreview.com/countries/djibouti-population" TargetMode="External"/><Relationship Id="rId66" Type="http://schemas.openxmlformats.org/officeDocument/2006/relationships/hyperlink" Target="https://worldpopulationreview.com/countries/grenada-population" TargetMode="External"/><Relationship Id="rId87" Type="http://schemas.openxmlformats.org/officeDocument/2006/relationships/hyperlink" Target="https://worldpopulationreview.com/countries/kazakhstan-population" TargetMode="External"/><Relationship Id="rId110" Type="http://schemas.openxmlformats.org/officeDocument/2006/relationships/hyperlink" Target="https://worldpopulationreview.com/countries/mexico-population" TargetMode="External"/><Relationship Id="rId115" Type="http://schemas.openxmlformats.org/officeDocument/2006/relationships/hyperlink" Target="https://worldpopulationreview.com/countries/mozambique-population" TargetMode="External"/><Relationship Id="rId131" Type="http://schemas.openxmlformats.org/officeDocument/2006/relationships/hyperlink" Target="https://worldpopulationreview.com/countries/papua-new-guinea-population" TargetMode="External"/><Relationship Id="rId136" Type="http://schemas.openxmlformats.org/officeDocument/2006/relationships/hyperlink" Target="https://worldpopulationreview.com/countries/portugal-population" TargetMode="External"/><Relationship Id="rId157" Type="http://schemas.openxmlformats.org/officeDocument/2006/relationships/hyperlink" Target="https://worldpopulationreview.com/countries/south-africa-population" TargetMode="External"/><Relationship Id="rId178" Type="http://schemas.openxmlformats.org/officeDocument/2006/relationships/hyperlink" Target="https://worldpopulationreview.com/countries/uganda-population" TargetMode="External"/><Relationship Id="rId61" Type="http://schemas.openxmlformats.org/officeDocument/2006/relationships/hyperlink" Target="https://worldpopulationreview.com/countries/gambia-population" TargetMode="External"/><Relationship Id="rId82" Type="http://schemas.openxmlformats.org/officeDocument/2006/relationships/hyperlink" Target="https://worldpopulationreview.com/countries/italy-population" TargetMode="External"/><Relationship Id="rId152" Type="http://schemas.openxmlformats.org/officeDocument/2006/relationships/hyperlink" Target="https://worldpopulationreview.com/countries/sierra-leone-population" TargetMode="External"/><Relationship Id="rId173" Type="http://schemas.openxmlformats.org/officeDocument/2006/relationships/hyperlink" Target="https://worldpopulationreview.com/countries/trinidad-and-tobago-population" TargetMode="External"/><Relationship Id="rId19" Type="http://schemas.openxmlformats.org/officeDocument/2006/relationships/hyperlink" Target="https://worldpopulationreview.com/countries/benin-population" TargetMode="External"/><Relationship Id="rId14" Type="http://schemas.openxmlformats.org/officeDocument/2006/relationships/hyperlink" Target="https://worldpopulationreview.com/countries/bangladesh-population" TargetMode="External"/><Relationship Id="rId30" Type="http://schemas.openxmlformats.org/officeDocument/2006/relationships/hyperlink" Target="https://worldpopulationreview.com/countries/cameroon-population" TargetMode="External"/><Relationship Id="rId35" Type="http://schemas.openxmlformats.org/officeDocument/2006/relationships/hyperlink" Target="https://worldpopulationreview.com/countries/chile-population" TargetMode="External"/><Relationship Id="rId56" Type="http://schemas.openxmlformats.org/officeDocument/2006/relationships/hyperlink" Target="https://worldpopulationreview.com/countries/ethiopia-population" TargetMode="External"/><Relationship Id="rId77" Type="http://schemas.openxmlformats.org/officeDocument/2006/relationships/hyperlink" Target="https://worldpopulationreview.com/countries/indonesia-population" TargetMode="External"/><Relationship Id="rId100" Type="http://schemas.openxmlformats.org/officeDocument/2006/relationships/hyperlink" Target="https://worldpopulationreview.com/countries/luxembourg-population" TargetMode="External"/><Relationship Id="rId105" Type="http://schemas.openxmlformats.org/officeDocument/2006/relationships/hyperlink" Target="https://worldpopulationreview.com/countries/mali-population" TargetMode="External"/><Relationship Id="rId126" Type="http://schemas.openxmlformats.org/officeDocument/2006/relationships/hyperlink" Target="https://worldpopulationreview.com/countries/oman-population" TargetMode="External"/><Relationship Id="rId147" Type="http://schemas.openxmlformats.org/officeDocument/2006/relationships/hyperlink" Target="https://worldpopulationreview.com/countries/sao-tome-and-principe-population" TargetMode="External"/><Relationship Id="rId168" Type="http://schemas.openxmlformats.org/officeDocument/2006/relationships/hyperlink" Target="https://worldpopulationreview.com/countries/tanzania-population" TargetMode="External"/><Relationship Id="rId8" Type="http://schemas.openxmlformats.org/officeDocument/2006/relationships/hyperlink" Target="https://worldpopulationreview.com/countries/armenia-population" TargetMode="External"/><Relationship Id="rId51" Type="http://schemas.openxmlformats.org/officeDocument/2006/relationships/hyperlink" Target="https://worldpopulationreview.com/countries/el-salvador-population" TargetMode="External"/><Relationship Id="rId72" Type="http://schemas.openxmlformats.org/officeDocument/2006/relationships/hyperlink" Target="https://worldpopulationreview.com/countries/honduras-population" TargetMode="External"/><Relationship Id="rId93" Type="http://schemas.openxmlformats.org/officeDocument/2006/relationships/hyperlink" Target="https://worldpopulationreview.com/countries/latvia-population" TargetMode="External"/><Relationship Id="rId98" Type="http://schemas.openxmlformats.org/officeDocument/2006/relationships/hyperlink" Target="https://worldpopulationreview.com/countries/liechtenstein-population" TargetMode="External"/><Relationship Id="rId121" Type="http://schemas.openxmlformats.org/officeDocument/2006/relationships/hyperlink" Target="https://worldpopulationreview.com/countries/nicaragua-population" TargetMode="External"/><Relationship Id="rId142" Type="http://schemas.openxmlformats.org/officeDocument/2006/relationships/hyperlink" Target="https://worldpopulationreview.com/countries/saint-kitts-and-nevis-population" TargetMode="External"/><Relationship Id="rId163" Type="http://schemas.openxmlformats.org/officeDocument/2006/relationships/hyperlink" Target="https://worldpopulationreview.com/countries/suriname-population" TargetMode="External"/><Relationship Id="rId184" Type="http://schemas.openxmlformats.org/officeDocument/2006/relationships/hyperlink" Target="https://worldpopulationreview.com/countries/uzbekistan-population" TargetMode="External"/><Relationship Id="rId189" Type="http://schemas.openxmlformats.org/officeDocument/2006/relationships/hyperlink" Target="https://worldpopulationreview.com/countries/zimbabwe-population" TargetMode="External"/><Relationship Id="rId3" Type="http://schemas.openxmlformats.org/officeDocument/2006/relationships/hyperlink" Target="https://worldpopulationreview.com/countries/algeria-population" TargetMode="External"/><Relationship Id="rId25" Type="http://schemas.openxmlformats.org/officeDocument/2006/relationships/hyperlink" Target="https://worldpopulationreview.com/countries/brunei-population" TargetMode="External"/><Relationship Id="rId46" Type="http://schemas.openxmlformats.org/officeDocument/2006/relationships/hyperlink" Target="https://worldpopulationreview.com/countries/dominica-population" TargetMode="External"/><Relationship Id="rId67" Type="http://schemas.openxmlformats.org/officeDocument/2006/relationships/hyperlink" Target="https://worldpopulationreview.com/countries/guatemala-population" TargetMode="External"/><Relationship Id="rId116" Type="http://schemas.openxmlformats.org/officeDocument/2006/relationships/hyperlink" Target="https://worldpopulationreview.com/countries/myanmar-population" TargetMode="External"/><Relationship Id="rId137" Type="http://schemas.openxmlformats.org/officeDocument/2006/relationships/hyperlink" Target="https://worldpopulationreview.com/countries/qatar-population" TargetMode="External"/><Relationship Id="rId158" Type="http://schemas.openxmlformats.org/officeDocument/2006/relationships/hyperlink" Target="https://worldpopulationreview.com/countries/south-korea-population" TargetMode="External"/><Relationship Id="rId20" Type="http://schemas.openxmlformats.org/officeDocument/2006/relationships/hyperlink" Target="https://worldpopulationreview.com/countries/bhutan-population" TargetMode="External"/><Relationship Id="rId41" Type="http://schemas.openxmlformats.org/officeDocument/2006/relationships/hyperlink" Target="https://worldpopulationreview.com/countries/cuba-population" TargetMode="External"/><Relationship Id="rId62" Type="http://schemas.openxmlformats.org/officeDocument/2006/relationships/hyperlink" Target="https://worldpopulationreview.com/countries/georgia-population" TargetMode="External"/><Relationship Id="rId83" Type="http://schemas.openxmlformats.org/officeDocument/2006/relationships/hyperlink" Target="https://worldpopulationreview.com/countries/ivory-coast-population" TargetMode="External"/><Relationship Id="rId88" Type="http://schemas.openxmlformats.org/officeDocument/2006/relationships/hyperlink" Target="https://worldpopulationreview.com/countries/kenya-population" TargetMode="External"/><Relationship Id="rId111" Type="http://schemas.openxmlformats.org/officeDocument/2006/relationships/hyperlink" Target="https://worldpopulationreview.com/countries/moldova-population" TargetMode="External"/><Relationship Id="rId132" Type="http://schemas.openxmlformats.org/officeDocument/2006/relationships/hyperlink" Target="https://worldpopulationreview.com/countries/paraguay-population" TargetMode="External"/><Relationship Id="rId153" Type="http://schemas.openxmlformats.org/officeDocument/2006/relationships/hyperlink" Target="https://worldpopulationreview.com/countries/singapore-population" TargetMode="External"/><Relationship Id="rId174" Type="http://schemas.openxmlformats.org/officeDocument/2006/relationships/hyperlink" Target="https://worldpopulationreview.com/countries/tunisia-population" TargetMode="External"/><Relationship Id="rId179" Type="http://schemas.openxmlformats.org/officeDocument/2006/relationships/hyperlink" Target="https://worldpopulationreview.com/countries/ukraine-population" TargetMode="External"/><Relationship Id="rId15" Type="http://schemas.openxmlformats.org/officeDocument/2006/relationships/hyperlink" Target="https://worldpopulationreview.com/countries/barbados-population" TargetMode="External"/><Relationship Id="rId36" Type="http://schemas.openxmlformats.org/officeDocument/2006/relationships/hyperlink" Target="https://worldpopulationreview.com/countries/china-population" TargetMode="External"/><Relationship Id="rId57" Type="http://schemas.openxmlformats.org/officeDocument/2006/relationships/hyperlink" Target="https://worldpopulationreview.com/countries/fiji-population" TargetMode="External"/><Relationship Id="rId106" Type="http://schemas.openxmlformats.org/officeDocument/2006/relationships/hyperlink" Target="https://worldpopulationreview.com/countries/malta-population" TargetMode="External"/><Relationship Id="rId127" Type="http://schemas.openxmlformats.org/officeDocument/2006/relationships/hyperlink" Target="https://worldpopulationreview.com/countries/pakistan-population" TargetMode="External"/><Relationship Id="rId10" Type="http://schemas.openxmlformats.org/officeDocument/2006/relationships/hyperlink" Target="https://worldpopulationreview.com/countries/austria-population" TargetMode="External"/><Relationship Id="rId31" Type="http://schemas.openxmlformats.org/officeDocument/2006/relationships/hyperlink" Target="https://worldpopulationreview.com/countries/canada-population" TargetMode="External"/><Relationship Id="rId52" Type="http://schemas.openxmlformats.org/officeDocument/2006/relationships/hyperlink" Target="https://worldpopulationreview.com/countries/equatorial-guinea-population" TargetMode="External"/><Relationship Id="rId73" Type="http://schemas.openxmlformats.org/officeDocument/2006/relationships/hyperlink" Target="https://worldpopulationreview.com/countries/hong-kong-population" TargetMode="External"/><Relationship Id="rId78" Type="http://schemas.openxmlformats.org/officeDocument/2006/relationships/hyperlink" Target="https://worldpopulationreview.com/countries/iran-population" TargetMode="External"/><Relationship Id="rId94" Type="http://schemas.openxmlformats.org/officeDocument/2006/relationships/hyperlink" Target="https://worldpopulationreview.com/countries/lebanon-population" TargetMode="External"/><Relationship Id="rId99" Type="http://schemas.openxmlformats.org/officeDocument/2006/relationships/hyperlink" Target="https://worldpopulationreview.com/countries/lithuania-population" TargetMode="External"/><Relationship Id="rId101" Type="http://schemas.openxmlformats.org/officeDocument/2006/relationships/hyperlink" Target="https://worldpopulationreview.com/countries/madagascar-population" TargetMode="External"/><Relationship Id="rId122" Type="http://schemas.openxmlformats.org/officeDocument/2006/relationships/hyperlink" Target="https://worldpopulationreview.com/countries/niger-population" TargetMode="External"/><Relationship Id="rId143" Type="http://schemas.openxmlformats.org/officeDocument/2006/relationships/hyperlink" Target="https://worldpopulationreview.com/countries/saint-lucia-population" TargetMode="External"/><Relationship Id="rId148" Type="http://schemas.openxmlformats.org/officeDocument/2006/relationships/hyperlink" Target="https://worldpopulationreview.com/countries/saudi-arabia-population" TargetMode="External"/><Relationship Id="rId164" Type="http://schemas.openxmlformats.org/officeDocument/2006/relationships/hyperlink" Target="https://worldpopulationreview.com/countries/sweden-population" TargetMode="External"/><Relationship Id="rId169" Type="http://schemas.openxmlformats.org/officeDocument/2006/relationships/hyperlink" Target="https://worldpopulationreview.com/countries/thailand-population" TargetMode="External"/><Relationship Id="rId185" Type="http://schemas.openxmlformats.org/officeDocument/2006/relationships/hyperlink" Target="https://worldpopulationreview.com/countries/vanuatu-population" TargetMode="External"/><Relationship Id="rId4" Type="http://schemas.openxmlformats.org/officeDocument/2006/relationships/hyperlink" Target="https://worldpopulationreview.com/countries/andorra-population" TargetMode="External"/><Relationship Id="rId9" Type="http://schemas.openxmlformats.org/officeDocument/2006/relationships/hyperlink" Target="https://worldpopulationreview.com/countries/australia-population" TargetMode="External"/><Relationship Id="rId180" Type="http://schemas.openxmlformats.org/officeDocument/2006/relationships/hyperlink" Target="https://worldpopulationreview.com/countries/united-arab-emirates-population" TargetMode="External"/><Relationship Id="rId26" Type="http://schemas.openxmlformats.org/officeDocument/2006/relationships/hyperlink" Target="https://worldpopulationreview.com/countries/bulgaria-population" TargetMode="External"/><Relationship Id="rId47" Type="http://schemas.openxmlformats.org/officeDocument/2006/relationships/hyperlink" Target="https://worldpopulationreview.com/countries/dominican-republic-population" TargetMode="External"/><Relationship Id="rId68" Type="http://schemas.openxmlformats.org/officeDocument/2006/relationships/hyperlink" Target="https://worldpopulationreview.com/countries/guinea-population" TargetMode="External"/><Relationship Id="rId89" Type="http://schemas.openxmlformats.org/officeDocument/2006/relationships/hyperlink" Target="https://worldpopulationreview.com/countries/kiribati-population" TargetMode="External"/><Relationship Id="rId112" Type="http://schemas.openxmlformats.org/officeDocument/2006/relationships/hyperlink" Target="https://worldpopulationreview.com/countries/mongolia-population" TargetMode="External"/><Relationship Id="rId133" Type="http://schemas.openxmlformats.org/officeDocument/2006/relationships/hyperlink" Target="https://worldpopulationreview.com/countries/peru-population" TargetMode="External"/><Relationship Id="rId154" Type="http://schemas.openxmlformats.org/officeDocument/2006/relationships/hyperlink" Target="https://worldpopulationreview.com/countries/slovakia-population" TargetMode="External"/><Relationship Id="rId175" Type="http://schemas.openxmlformats.org/officeDocument/2006/relationships/hyperlink" Target="https://worldpopulationreview.com/countries/turkey-population" TargetMode="External"/><Relationship Id="rId16" Type="http://schemas.openxmlformats.org/officeDocument/2006/relationships/hyperlink" Target="https://worldpopulationreview.com/countries/belarus-population" TargetMode="External"/><Relationship Id="rId37" Type="http://schemas.openxmlformats.org/officeDocument/2006/relationships/hyperlink" Target="https://worldpopulationreview.com/countries/colombia-population" TargetMode="External"/><Relationship Id="rId58" Type="http://schemas.openxmlformats.org/officeDocument/2006/relationships/hyperlink" Target="https://worldpopulationreview.com/countries/finland-population" TargetMode="External"/><Relationship Id="rId79" Type="http://schemas.openxmlformats.org/officeDocument/2006/relationships/hyperlink" Target="https://worldpopulationreview.com/countries/iraq-population" TargetMode="External"/><Relationship Id="rId102" Type="http://schemas.openxmlformats.org/officeDocument/2006/relationships/hyperlink" Target="https://worldpopulationreview.com/countries/malawi-population" TargetMode="External"/><Relationship Id="rId123" Type="http://schemas.openxmlformats.org/officeDocument/2006/relationships/hyperlink" Target="https://worldpopulationreview.com/countries/nigeria-population" TargetMode="External"/><Relationship Id="rId144" Type="http://schemas.openxmlformats.org/officeDocument/2006/relationships/hyperlink" Target="https://worldpopulationreview.com/countries/saint-vincent-and-the-grenadines-population" TargetMode="External"/><Relationship Id="rId90" Type="http://schemas.openxmlformats.org/officeDocument/2006/relationships/hyperlink" Target="https://worldpopulationreview.com/countries/kuwait-population" TargetMode="External"/><Relationship Id="rId165" Type="http://schemas.openxmlformats.org/officeDocument/2006/relationships/hyperlink" Target="https://worldpopulationreview.com/countries/switzerland-population" TargetMode="External"/><Relationship Id="rId186" Type="http://schemas.openxmlformats.org/officeDocument/2006/relationships/hyperlink" Target="https://worldpopulationreview.com/countries/venezuela-population" TargetMode="External"/><Relationship Id="rId27" Type="http://schemas.openxmlformats.org/officeDocument/2006/relationships/hyperlink" Target="https://worldpopulationreview.com/countries/burkina-faso-population" TargetMode="External"/><Relationship Id="rId48" Type="http://schemas.openxmlformats.org/officeDocument/2006/relationships/hyperlink" Target="https://worldpopulationreview.com/countries/dr-congo-population" TargetMode="External"/><Relationship Id="rId69" Type="http://schemas.openxmlformats.org/officeDocument/2006/relationships/hyperlink" Target="https://worldpopulationreview.com/countries/guinea--bissau-population" TargetMode="External"/><Relationship Id="rId113" Type="http://schemas.openxmlformats.org/officeDocument/2006/relationships/hyperlink" Target="https://worldpopulationreview.com/countries/montenegro-population" TargetMode="External"/><Relationship Id="rId134" Type="http://schemas.openxmlformats.org/officeDocument/2006/relationships/hyperlink" Target="https://worldpopulationreview.com/countries/philippines-population" TargetMode="External"/><Relationship Id="rId80" Type="http://schemas.openxmlformats.org/officeDocument/2006/relationships/hyperlink" Target="https://worldpopulationreview.com/countries/ireland-population" TargetMode="External"/><Relationship Id="rId155" Type="http://schemas.openxmlformats.org/officeDocument/2006/relationships/hyperlink" Target="https://worldpopulationreview.com/countries/slovenia-population" TargetMode="External"/><Relationship Id="rId176" Type="http://schemas.openxmlformats.org/officeDocument/2006/relationships/hyperlink" Target="https://worldpopulationreview.com/countries/turkmenistan-population" TargetMode="External"/><Relationship Id="rId17" Type="http://schemas.openxmlformats.org/officeDocument/2006/relationships/hyperlink" Target="https://worldpopulationreview.com/countries/belgium-population" TargetMode="External"/><Relationship Id="rId38" Type="http://schemas.openxmlformats.org/officeDocument/2006/relationships/hyperlink" Target="https://worldpopulationreview.com/countries/comoros-population" TargetMode="External"/><Relationship Id="rId59" Type="http://schemas.openxmlformats.org/officeDocument/2006/relationships/hyperlink" Target="https://worldpopulationreview.com/countries/france-population" TargetMode="External"/><Relationship Id="rId103" Type="http://schemas.openxmlformats.org/officeDocument/2006/relationships/hyperlink" Target="https://worldpopulationreview.com/countries/malaysia-population" TargetMode="External"/><Relationship Id="rId124" Type="http://schemas.openxmlformats.org/officeDocument/2006/relationships/hyperlink" Target="https://worldpopulationreview.com/countries/north-macedonia-population" TargetMode="External"/><Relationship Id="rId70" Type="http://schemas.openxmlformats.org/officeDocument/2006/relationships/hyperlink" Target="https://worldpopulationreview.com/countries/guyana-population" TargetMode="External"/><Relationship Id="rId91" Type="http://schemas.openxmlformats.org/officeDocument/2006/relationships/hyperlink" Target="https://worldpopulationreview.com/countries/kyrgyzstan-population" TargetMode="External"/><Relationship Id="rId145" Type="http://schemas.openxmlformats.org/officeDocument/2006/relationships/hyperlink" Target="https://worldpopulationreview.com/countries/samoa-population" TargetMode="External"/><Relationship Id="rId166" Type="http://schemas.openxmlformats.org/officeDocument/2006/relationships/hyperlink" Target="https://worldpopulationreview.com/countries/syria-population" TargetMode="External"/><Relationship Id="rId187" Type="http://schemas.openxmlformats.org/officeDocument/2006/relationships/hyperlink" Target="https://worldpopulationreview.com/countries/yemen-population" TargetMode="External"/><Relationship Id="rId1" Type="http://schemas.openxmlformats.org/officeDocument/2006/relationships/hyperlink" Target="https://worldpopulationreview.com/countries/afghanistan-population" TargetMode="External"/><Relationship Id="rId28" Type="http://schemas.openxmlformats.org/officeDocument/2006/relationships/hyperlink" Target="https://worldpopulationreview.com/countries/burundi-population" TargetMode="External"/><Relationship Id="rId49" Type="http://schemas.openxmlformats.org/officeDocument/2006/relationships/hyperlink" Target="https://worldpopulationreview.com/countries/ecuador-population" TargetMode="External"/><Relationship Id="rId114" Type="http://schemas.openxmlformats.org/officeDocument/2006/relationships/hyperlink" Target="https://worldpopulationreview.com/countries/morocco-population" TargetMode="External"/><Relationship Id="rId60" Type="http://schemas.openxmlformats.org/officeDocument/2006/relationships/hyperlink" Target="https://worldpopulationreview.com/countries/gabon-population" TargetMode="External"/><Relationship Id="rId81" Type="http://schemas.openxmlformats.org/officeDocument/2006/relationships/hyperlink" Target="https://worldpopulationreview.com/countries/israel-population" TargetMode="External"/><Relationship Id="rId135" Type="http://schemas.openxmlformats.org/officeDocument/2006/relationships/hyperlink" Target="https://worldpopulationreview.com/countries/poland-population" TargetMode="External"/><Relationship Id="rId156" Type="http://schemas.openxmlformats.org/officeDocument/2006/relationships/hyperlink" Target="https://worldpopulationreview.com/countries/solomon-islands-population" TargetMode="External"/><Relationship Id="rId177" Type="http://schemas.openxmlformats.org/officeDocument/2006/relationships/hyperlink" Target="https://worldpopulationreview.com/countries/tuvalu-population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orldometers.info/gdp/us-gdp/" TargetMode="External"/><Relationship Id="rId1" Type="http://schemas.openxmlformats.org/officeDocument/2006/relationships/hyperlink" Target="https://www.worldometers.info/gdp/us-gdp/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iki/United_States" TargetMode="External"/><Relationship Id="rId21" Type="http://schemas.openxmlformats.org/officeDocument/2006/relationships/hyperlink" Target="https://en.wikipedia.org/wiki/New_Zealand" TargetMode="External"/><Relationship Id="rId42" Type="http://schemas.openxmlformats.org/officeDocument/2006/relationships/hyperlink" Target="https://en.wikipedia.org/wiki/Malaysia" TargetMode="External"/><Relationship Id="rId47" Type="http://schemas.openxmlformats.org/officeDocument/2006/relationships/hyperlink" Target="https://en.wikipedia.org/wiki/Greece" TargetMode="External"/><Relationship Id="rId63" Type="http://schemas.openxmlformats.org/officeDocument/2006/relationships/hyperlink" Target="https://en.wikipedia.org/wiki/Turkey" TargetMode="External"/><Relationship Id="rId68" Type="http://schemas.openxmlformats.org/officeDocument/2006/relationships/hyperlink" Target="https://en.wikipedia.org/wiki/Paraguay" TargetMode="External"/><Relationship Id="rId16" Type="http://schemas.openxmlformats.org/officeDocument/2006/relationships/hyperlink" Target="https://en.wikipedia.org/wiki/Malta" TargetMode="External"/><Relationship Id="rId11" Type="http://schemas.openxmlformats.org/officeDocument/2006/relationships/hyperlink" Target="https://en.wikipedia.org/wiki/France" TargetMode="External"/><Relationship Id="rId32" Type="http://schemas.openxmlformats.org/officeDocument/2006/relationships/hyperlink" Target="https://en.wikipedia.org/wiki/Israel" TargetMode="External"/><Relationship Id="rId37" Type="http://schemas.openxmlformats.org/officeDocument/2006/relationships/hyperlink" Target="https://en.wikipedia.org/wiki/Kazakhstan" TargetMode="External"/><Relationship Id="rId53" Type="http://schemas.openxmlformats.org/officeDocument/2006/relationships/hyperlink" Target="https://en.wikipedia.org/wiki/Albania" TargetMode="External"/><Relationship Id="rId58" Type="http://schemas.openxmlformats.org/officeDocument/2006/relationships/hyperlink" Target="https://en.wikipedia.org/wiki/Sri_Lanka" TargetMode="External"/><Relationship Id="rId74" Type="http://schemas.openxmlformats.org/officeDocument/2006/relationships/hyperlink" Target="https://en.wikipedia.org/wiki/Guatemala" TargetMode="External"/><Relationship Id="rId79" Type="http://schemas.openxmlformats.org/officeDocument/2006/relationships/hyperlink" Target="https://en.wikipedia.org/wiki/Cameroon" TargetMode="External"/><Relationship Id="rId5" Type="http://schemas.openxmlformats.org/officeDocument/2006/relationships/hyperlink" Target="https://en.wikipedia.org/wiki/Netherlands" TargetMode="External"/><Relationship Id="rId61" Type="http://schemas.openxmlformats.org/officeDocument/2006/relationships/hyperlink" Target="https://en.wikipedia.org/wiki/Tunisia" TargetMode="External"/><Relationship Id="rId82" Type="http://schemas.openxmlformats.org/officeDocument/2006/relationships/hyperlink" Target="https://en.wikipedia.org/wiki/Denmark" TargetMode="External"/><Relationship Id="rId19" Type="http://schemas.openxmlformats.org/officeDocument/2006/relationships/hyperlink" Target="https://en.wikipedia.org/wiki/Singapore" TargetMode="External"/><Relationship Id="rId14" Type="http://schemas.openxmlformats.org/officeDocument/2006/relationships/hyperlink" Target="https://en.wikipedia.org/wiki/Japan" TargetMode="External"/><Relationship Id="rId22" Type="http://schemas.openxmlformats.org/officeDocument/2006/relationships/hyperlink" Target="https://en.wikipedia.org/wiki/Estonia" TargetMode="External"/><Relationship Id="rId27" Type="http://schemas.openxmlformats.org/officeDocument/2006/relationships/hyperlink" Target="https://en.wikipedia.org/wiki/Spain" TargetMode="External"/><Relationship Id="rId30" Type="http://schemas.openxmlformats.org/officeDocument/2006/relationships/hyperlink" Target="https://en.wikipedia.org/wiki/Latvia" TargetMode="External"/><Relationship Id="rId35" Type="http://schemas.openxmlformats.org/officeDocument/2006/relationships/hyperlink" Target="https://en.wikipedia.org/wiki/Croatia" TargetMode="External"/><Relationship Id="rId43" Type="http://schemas.openxmlformats.org/officeDocument/2006/relationships/hyperlink" Target="https://en.wikipedia.org/wiki/Costa_Rica" TargetMode="External"/><Relationship Id="rId48" Type="http://schemas.openxmlformats.org/officeDocument/2006/relationships/hyperlink" Target="https://en.wikipedia.org/wiki/Moldova" TargetMode="External"/><Relationship Id="rId56" Type="http://schemas.openxmlformats.org/officeDocument/2006/relationships/hyperlink" Target="https://en.wikipedia.org/wiki/Ecuador" TargetMode="External"/><Relationship Id="rId64" Type="http://schemas.openxmlformats.org/officeDocument/2006/relationships/hyperlink" Target="https://en.wikipedia.org/wiki/Colombia" TargetMode="External"/><Relationship Id="rId69" Type="http://schemas.openxmlformats.org/officeDocument/2006/relationships/hyperlink" Target="https://en.wikipedia.org/wiki/Ghana" TargetMode="External"/><Relationship Id="rId77" Type="http://schemas.openxmlformats.org/officeDocument/2006/relationships/hyperlink" Target="https://en.wikipedia.org/wiki/Bangladesh" TargetMode="External"/><Relationship Id="rId8" Type="http://schemas.openxmlformats.org/officeDocument/2006/relationships/hyperlink" Target="https://en.wikipedia.org/wiki/Austria" TargetMode="External"/><Relationship Id="rId51" Type="http://schemas.openxmlformats.org/officeDocument/2006/relationships/hyperlink" Target="https://en.wikipedia.org/wiki/Saudi_Arabia" TargetMode="External"/><Relationship Id="rId72" Type="http://schemas.openxmlformats.org/officeDocument/2006/relationships/hyperlink" Target="https://en.wikipedia.org/wiki/Morocco" TargetMode="External"/><Relationship Id="rId80" Type="http://schemas.openxmlformats.org/officeDocument/2006/relationships/hyperlink" Target="https://en.wikipedia.org/wiki/Senegal" TargetMode="External"/><Relationship Id="rId3" Type="http://schemas.openxmlformats.org/officeDocument/2006/relationships/hyperlink" Target="https://en.wikipedia.org/wiki/Sweden" TargetMode="External"/><Relationship Id="rId12" Type="http://schemas.openxmlformats.org/officeDocument/2006/relationships/hyperlink" Target="https://en.wikipedia.org/wiki/Slovenia" TargetMode="External"/><Relationship Id="rId17" Type="http://schemas.openxmlformats.org/officeDocument/2006/relationships/hyperlink" Target="https://en.wikipedia.org/wiki/Republic_of_Ireland" TargetMode="External"/><Relationship Id="rId25" Type="http://schemas.openxmlformats.org/officeDocument/2006/relationships/hyperlink" Target="https://en.wikipedia.org/wiki/Lithuania" TargetMode="External"/><Relationship Id="rId33" Type="http://schemas.openxmlformats.org/officeDocument/2006/relationships/hyperlink" Target="https://en.wikipedia.org/wiki/Italy" TargetMode="External"/><Relationship Id="rId38" Type="http://schemas.openxmlformats.org/officeDocument/2006/relationships/hyperlink" Target="https://en.wikipedia.org/wiki/Russia" TargetMode="External"/><Relationship Id="rId46" Type="http://schemas.openxmlformats.org/officeDocument/2006/relationships/hyperlink" Target="https://en.wikipedia.org/wiki/Chile" TargetMode="External"/><Relationship Id="rId59" Type="http://schemas.openxmlformats.org/officeDocument/2006/relationships/hyperlink" Target="https://en.wikipedia.org/wiki/Brazil" TargetMode="External"/><Relationship Id="rId67" Type="http://schemas.openxmlformats.org/officeDocument/2006/relationships/hyperlink" Target="https://en.wikipedia.org/wiki/El_Salvador" TargetMode="External"/><Relationship Id="rId20" Type="http://schemas.openxmlformats.org/officeDocument/2006/relationships/hyperlink" Target="https://en.wikipedia.org/wiki/United_Kingdom" TargetMode="External"/><Relationship Id="rId41" Type="http://schemas.openxmlformats.org/officeDocument/2006/relationships/hyperlink" Target="https://en.wikipedia.org/wiki/Romania" TargetMode="External"/><Relationship Id="rId54" Type="http://schemas.openxmlformats.org/officeDocument/2006/relationships/hyperlink" Target="https://en.wikipedia.org/wiki/Thailand" TargetMode="External"/><Relationship Id="rId62" Type="http://schemas.openxmlformats.org/officeDocument/2006/relationships/hyperlink" Target="https://en.wikipedia.org/wiki/Panama" TargetMode="External"/><Relationship Id="rId70" Type="http://schemas.openxmlformats.org/officeDocument/2006/relationships/hyperlink" Target="https://en.wikipedia.org/wiki/Egypt" TargetMode="External"/><Relationship Id="rId75" Type="http://schemas.openxmlformats.org/officeDocument/2006/relationships/hyperlink" Target="https://en.wikipedia.org/wiki/India" TargetMode="External"/><Relationship Id="rId1" Type="http://schemas.openxmlformats.org/officeDocument/2006/relationships/hyperlink" Target="https://en.wikipedia.org/wiki/Norway" TargetMode="External"/><Relationship Id="rId6" Type="http://schemas.openxmlformats.org/officeDocument/2006/relationships/hyperlink" Target="https://en.wikipedia.org/wiki/Switzerland" TargetMode="External"/><Relationship Id="rId15" Type="http://schemas.openxmlformats.org/officeDocument/2006/relationships/hyperlink" Target="https://en.wikipedia.org/wiki/Australia" TargetMode="External"/><Relationship Id="rId23" Type="http://schemas.openxmlformats.org/officeDocument/2006/relationships/hyperlink" Target="https://en.wikipedia.org/wiki/Portugal" TargetMode="External"/><Relationship Id="rId28" Type="http://schemas.openxmlformats.org/officeDocument/2006/relationships/hyperlink" Target="https://en.wikipedia.org/wiki/Cyprus" TargetMode="External"/><Relationship Id="rId36" Type="http://schemas.openxmlformats.org/officeDocument/2006/relationships/hyperlink" Target="https://en.wikipedia.org/wiki/Hungary" TargetMode="External"/><Relationship Id="rId49" Type="http://schemas.openxmlformats.org/officeDocument/2006/relationships/hyperlink" Target="https://en.wikipedia.org/wiki/Vietnam" TargetMode="External"/><Relationship Id="rId57" Type="http://schemas.openxmlformats.org/officeDocument/2006/relationships/hyperlink" Target="https://en.wikipedia.org/wiki/Mexico" TargetMode="External"/><Relationship Id="rId10" Type="http://schemas.openxmlformats.org/officeDocument/2006/relationships/hyperlink" Target="https://en.wikipedia.org/wiki/Germany" TargetMode="External"/><Relationship Id="rId31" Type="http://schemas.openxmlformats.org/officeDocument/2006/relationships/hyperlink" Target="https://en.wikipedia.org/wiki/Slovakia" TargetMode="External"/><Relationship Id="rId44" Type="http://schemas.openxmlformats.org/officeDocument/2006/relationships/hyperlink" Target="https://en.wikipedia.org/wiki/China" TargetMode="External"/><Relationship Id="rId52" Type="http://schemas.openxmlformats.org/officeDocument/2006/relationships/hyperlink" Target="https://en.wikipedia.org/wiki/Georgia_(country)" TargetMode="External"/><Relationship Id="rId60" Type="http://schemas.openxmlformats.org/officeDocument/2006/relationships/hyperlink" Target="https://en.wikipedia.org/wiki/Philippines" TargetMode="External"/><Relationship Id="rId65" Type="http://schemas.openxmlformats.org/officeDocument/2006/relationships/hyperlink" Target="https://en.wikipedia.org/wiki/Peru" TargetMode="External"/><Relationship Id="rId73" Type="http://schemas.openxmlformats.org/officeDocument/2006/relationships/hyperlink" Target="https://en.wikipedia.org/wiki/Honduras" TargetMode="External"/><Relationship Id="rId78" Type="http://schemas.openxmlformats.org/officeDocument/2006/relationships/hyperlink" Target="https://en.wikipedia.org/wiki/Pakistan" TargetMode="External"/><Relationship Id="rId81" Type="http://schemas.openxmlformats.org/officeDocument/2006/relationships/hyperlink" Target="https://en.wikipedia.org/wiki/Ivory_Coast" TargetMode="External"/><Relationship Id="rId4" Type="http://schemas.openxmlformats.org/officeDocument/2006/relationships/hyperlink" Target="https://en.wikipedia.org/wiki/Iceland" TargetMode="External"/><Relationship Id="rId9" Type="http://schemas.openxmlformats.org/officeDocument/2006/relationships/hyperlink" Target="https://en.wikipedia.org/wiki/Luxembourg" TargetMode="External"/><Relationship Id="rId13" Type="http://schemas.openxmlformats.org/officeDocument/2006/relationships/hyperlink" Target="https://en.wikipedia.org/wiki/Canada" TargetMode="External"/><Relationship Id="rId18" Type="http://schemas.openxmlformats.org/officeDocument/2006/relationships/hyperlink" Target="https://en.wikipedia.org/wiki/Czech_Republic" TargetMode="External"/><Relationship Id="rId39" Type="http://schemas.openxmlformats.org/officeDocument/2006/relationships/hyperlink" Target="https://en.wikipedia.org/wiki/Bulgaria" TargetMode="External"/><Relationship Id="rId34" Type="http://schemas.openxmlformats.org/officeDocument/2006/relationships/hyperlink" Target="https://en.wikipedia.org/wiki/Uruguay" TargetMode="External"/><Relationship Id="rId50" Type="http://schemas.openxmlformats.org/officeDocument/2006/relationships/hyperlink" Target="https://en.wikipedia.org/wiki/Argentina" TargetMode="External"/><Relationship Id="rId55" Type="http://schemas.openxmlformats.org/officeDocument/2006/relationships/hyperlink" Target="https://en.wikipedia.org/wiki/Armenia" TargetMode="External"/><Relationship Id="rId76" Type="http://schemas.openxmlformats.org/officeDocument/2006/relationships/hyperlink" Target="https://en.wikipedia.org/wiki/South_Africa" TargetMode="External"/><Relationship Id="rId7" Type="http://schemas.openxmlformats.org/officeDocument/2006/relationships/hyperlink" Target="https://en.wikipedia.org/wiki/Belgium" TargetMode="External"/><Relationship Id="rId71" Type="http://schemas.openxmlformats.org/officeDocument/2006/relationships/hyperlink" Target="https://en.wikipedia.org/wiki/Laos" TargetMode="External"/><Relationship Id="rId2" Type="http://schemas.openxmlformats.org/officeDocument/2006/relationships/hyperlink" Target="https://en.wikipedia.org/wiki/Finland" TargetMode="External"/><Relationship Id="rId29" Type="http://schemas.openxmlformats.org/officeDocument/2006/relationships/hyperlink" Target="https://en.wikipedia.org/wiki/Poland" TargetMode="External"/><Relationship Id="rId24" Type="http://schemas.openxmlformats.org/officeDocument/2006/relationships/hyperlink" Target="https://en.wikipedia.org/wiki/South_Korea" TargetMode="External"/><Relationship Id="rId40" Type="http://schemas.openxmlformats.org/officeDocument/2006/relationships/hyperlink" Target="https://en.wikipedia.org/wiki/Serbia" TargetMode="External"/><Relationship Id="rId45" Type="http://schemas.openxmlformats.org/officeDocument/2006/relationships/hyperlink" Target="https://en.wikipedia.org/wiki/Ukraine" TargetMode="External"/><Relationship Id="rId66" Type="http://schemas.openxmlformats.org/officeDocument/2006/relationships/hyperlink" Target="https://en.wikipedia.org/wiki/Indonesia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worldpopulationreview.com/countries/dominican-republic-population" TargetMode="External"/><Relationship Id="rId21" Type="http://schemas.openxmlformats.org/officeDocument/2006/relationships/hyperlink" Target="https://worldpopulationreview.com/countries/costa-rica-population" TargetMode="External"/><Relationship Id="rId42" Type="http://schemas.openxmlformats.org/officeDocument/2006/relationships/hyperlink" Target="https://worldpopulationreview.com/countries/indonesia-population" TargetMode="External"/><Relationship Id="rId47" Type="http://schemas.openxmlformats.org/officeDocument/2006/relationships/hyperlink" Target="https://worldpopulationreview.com/countries/italy-population" TargetMode="External"/><Relationship Id="rId63" Type="http://schemas.openxmlformats.org/officeDocument/2006/relationships/hyperlink" Target="https://worldpopulationreview.com/countries/montenegro-population" TargetMode="External"/><Relationship Id="rId68" Type="http://schemas.openxmlformats.org/officeDocument/2006/relationships/hyperlink" Target="https://worldpopulationreview.com/countries/north-macedonia-population" TargetMode="External"/><Relationship Id="rId84" Type="http://schemas.openxmlformats.org/officeDocument/2006/relationships/hyperlink" Target="https://worldpopulationreview.com/countries/singapore-population" TargetMode="External"/><Relationship Id="rId89" Type="http://schemas.openxmlformats.org/officeDocument/2006/relationships/hyperlink" Target="https://worldpopulationreview.com/countries/spain-population" TargetMode="External"/><Relationship Id="rId16" Type="http://schemas.openxmlformats.org/officeDocument/2006/relationships/hyperlink" Target="https://worldpopulationreview.com/countries/cameroon-population" TargetMode="External"/><Relationship Id="rId11" Type="http://schemas.openxmlformats.org/officeDocument/2006/relationships/hyperlink" Target="https://worldpopulationreview.com/countries/bolivia-population" TargetMode="External"/><Relationship Id="rId32" Type="http://schemas.openxmlformats.org/officeDocument/2006/relationships/hyperlink" Target="https://worldpopulationreview.com/countries/france-population" TargetMode="External"/><Relationship Id="rId37" Type="http://schemas.openxmlformats.org/officeDocument/2006/relationships/hyperlink" Target="https://worldpopulationreview.com/countries/honduras-population" TargetMode="External"/><Relationship Id="rId53" Type="http://schemas.openxmlformats.org/officeDocument/2006/relationships/hyperlink" Target="https://worldpopulationreview.com/countries/kyrgyzstan-population" TargetMode="External"/><Relationship Id="rId58" Type="http://schemas.openxmlformats.org/officeDocument/2006/relationships/hyperlink" Target="https://worldpopulationreview.com/countries/malaysia-population" TargetMode="External"/><Relationship Id="rId74" Type="http://schemas.openxmlformats.org/officeDocument/2006/relationships/hyperlink" Target="https://worldpopulationreview.com/countries/peru-population" TargetMode="External"/><Relationship Id="rId79" Type="http://schemas.openxmlformats.org/officeDocument/2006/relationships/hyperlink" Target="https://worldpopulationreview.com/countries/qatar-population" TargetMode="External"/><Relationship Id="rId102" Type="http://schemas.openxmlformats.org/officeDocument/2006/relationships/hyperlink" Target="https://worldpopulationreview.com/countries/uruguay-population" TargetMode="External"/><Relationship Id="rId5" Type="http://schemas.openxmlformats.org/officeDocument/2006/relationships/hyperlink" Target="https://worldpopulationreview.com/countries/australia-population" TargetMode="External"/><Relationship Id="rId90" Type="http://schemas.openxmlformats.org/officeDocument/2006/relationships/hyperlink" Target="https://worldpopulationreview.com/countries/sri-lanka-population" TargetMode="External"/><Relationship Id="rId95" Type="http://schemas.openxmlformats.org/officeDocument/2006/relationships/hyperlink" Target="https://worldpopulationreview.com/countries/thailand-population" TargetMode="External"/><Relationship Id="rId22" Type="http://schemas.openxmlformats.org/officeDocument/2006/relationships/hyperlink" Target="https://worldpopulationreview.com/countries/croatia-population" TargetMode="External"/><Relationship Id="rId27" Type="http://schemas.openxmlformats.org/officeDocument/2006/relationships/hyperlink" Target="https://worldpopulationreview.com/countries/ecuador-population" TargetMode="External"/><Relationship Id="rId43" Type="http://schemas.openxmlformats.org/officeDocument/2006/relationships/hyperlink" Target="https://worldpopulationreview.com/countries/iran-population" TargetMode="External"/><Relationship Id="rId48" Type="http://schemas.openxmlformats.org/officeDocument/2006/relationships/hyperlink" Target="https://worldpopulationreview.com/countries/japan-population" TargetMode="External"/><Relationship Id="rId64" Type="http://schemas.openxmlformats.org/officeDocument/2006/relationships/hyperlink" Target="https://worldpopulationreview.com/countries/morocco-population" TargetMode="External"/><Relationship Id="rId69" Type="http://schemas.openxmlformats.org/officeDocument/2006/relationships/hyperlink" Target="https://worldpopulationreview.com/countries/norway-population" TargetMode="External"/><Relationship Id="rId80" Type="http://schemas.openxmlformats.org/officeDocument/2006/relationships/hyperlink" Target="https://worldpopulationreview.com/countries/romania-population" TargetMode="External"/><Relationship Id="rId85" Type="http://schemas.openxmlformats.org/officeDocument/2006/relationships/hyperlink" Target="https://worldpopulationreview.com/countries/slovakia-population" TargetMode="External"/><Relationship Id="rId12" Type="http://schemas.openxmlformats.org/officeDocument/2006/relationships/hyperlink" Target="https://worldpopulationreview.com/countries/bosnia-and-herzegovina-population" TargetMode="External"/><Relationship Id="rId17" Type="http://schemas.openxmlformats.org/officeDocument/2006/relationships/hyperlink" Target="https://worldpopulationreview.com/countries/canada-population" TargetMode="External"/><Relationship Id="rId33" Type="http://schemas.openxmlformats.org/officeDocument/2006/relationships/hyperlink" Target="https://worldpopulationreview.com/countries/georgia-population" TargetMode="External"/><Relationship Id="rId38" Type="http://schemas.openxmlformats.org/officeDocument/2006/relationships/hyperlink" Target="https://worldpopulationreview.com/countries/hong-kong-population" TargetMode="External"/><Relationship Id="rId59" Type="http://schemas.openxmlformats.org/officeDocument/2006/relationships/hyperlink" Target="https://worldpopulationreview.com/countries/malta-population" TargetMode="External"/><Relationship Id="rId103" Type="http://schemas.openxmlformats.org/officeDocument/2006/relationships/hyperlink" Target="https://worldpopulationreview.com/countries/uzbekistan-population" TargetMode="External"/><Relationship Id="rId20" Type="http://schemas.openxmlformats.org/officeDocument/2006/relationships/hyperlink" Target="https://worldpopulationreview.com/countries/colombia-population" TargetMode="External"/><Relationship Id="rId41" Type="http://schemas.openxmlformats.org/officeDocument/2006/relationships/hyperlink" Target="https://worldpopulationreview.com/countries/india-population" TargetMode="External"/><Relationship Id="rId54" Type="http://schemas.openxmlformats.org/officeDocument/2006/relationships/hyperlink" Target="https://worldpopulationreview.com/countries/latvia-population" TargetMode="External"/><Relationship Id="rId62" Type="http://schemas.openxmlformats.org/officeDocument/2006/relationships/hyperlink" Target="https://worldpopulationreview.com/countries/mongolia-population" TargetMode="External"/><Relationship Id="rId70" Type="http://schemas.openxmlformats.org/officeDocument/2006/relationships/hyperlink" Target="https://worldpopulationreview.com/countries/oman-population" TargetMode="External"/><Relationship Id="rId75" Type="http://schemas.openxmlformats.org/officeDocument/2006/relationships/hyperlink" Target="https://worldpopulationreview.com/countries/philippines-population" TargetMode="External"/><Relationship Id="rId83" Type="http://schemas.openxmlformats.org/officeDocument/2006/relationships/hyperlink" Target="https://worldpopulationreview.com/countries/serbia-population" TargetMode="External"/><Relationship Id="rId88" Type="http://schemas.openxmlformats.org/officeDocument/2006/relationships/hyperlink" Target="https://worldpopulationreview.com/countries/south-korea-population" TargetMode="External"/><Relationship Id="rId91" Type="http://schemas.openxmlformats.org/officeDocument/2006/relationships/hyperlink" Target="https://worldpopulationreview.com/countries/sweden-population" TargetMode="External"/><Relationship Id="rId96" Type="http://schemas.openxmlformats.org/officeDocument/2006/relationships/hyperlink" Target="https://worldpopulationreview.com/countries/tunisia-population" TargetMode="External"/><Relationship Id="rId1" Type="http://schemas.openxmlformats.org/officeDocument/2006/relationships/hyperlink" Target="https://worldpopulationreview.com/countries/afghanistan-population" TargetMode="External"/><Relationship Id="rId6" Type="http://schemas.openxmlformats.org/officeDocument/2006/relationships/hyperlink" Target="https://worldpopulationreview.com/countries/austria-population" TargetMode="External"/><Relationship Id="rId15" Type="http://schemas.openxmlformats.org/officeDocument/2006/relationships/hyperlink" Target="https://worldpopulationreview.com/countries/cambodia-population" TargetMode="External"/><Relationship Id="rId23" Type="http://schemas.openxmlformats.org/officeDocument/2006/relationships/hyperlink" Target="https://worldpopulationreview.com/countries/cyprus-population" TargetMode="External"/><Relationship Id="rId28" Type="http://schemas.openxmlformats.org/officeDocument/2006/relationships/hyperlink" Target="https://worldpopulationreview.com/countries/egypt-population" TargetMode="External"/><Relationship Id="rId36" Type="http://schemas.openxmlformats.org/officeDocument/2006/relationships/hyperlink" Target="https://worldpopulationreview.com/countries/guatemala-population" TargetMode="External"/><Relationship Id="rId49" Type="http://schemas.openxmlformats.org/officeDocument/2006/relationships/hyperlink" Target="https://worldpopulationreview.com/countries/jordan-population" TargetMode="External"/><Relationship Id="rId57" Type="http://schemas.openxmlformats.org/officeDocument/2006/relationships/hyperlink" Target="https://worldpopulationreview.com/countries/luxembourg-population" TargetMode="External"/><Relationship Id="rId10" Type="http://schemas.openxmlformats.org/officeDocument/2006/relationships/hyperlink" Target="https://worldpopulationreview.com/countries/belgium-population" TargetMode="External"/><Relationship Id="rId31" Type="http://schemas.openxmlformats.org/officeDocument/2006/relationships/hyperlink" Target="https://worldpopulationreview.com/countries/finland-population" TargetMode="External"/><Relationship Id="rId44" Type="http://schemas.openxmlformats.org/officeDocument/2006/relationships/hyperlink" Target="https://worldpopulationreview.com/countries/iraq-population" TargetMode="External"/><Relationship Id="rId52" Type="http://schemas.openxmlformats.org/officeDocument/2006/relationships/hyperlink" Target="https://worldpopulationreview.com/countries/kuwait-population" TargetMode="External"/><Relationship Id="rId60" Type="http://schemas.openxmlformats.org/officeDocument/2006/relationships/hyperlink" Target="https://worldpopulationreview.com/countries/mexico-population" TargetMode="External"/><Relationship Id="rId65" Type="http://schemas.openxmlformats.org/officeDocument/2006/relationships/hyperlink" Target="https://worldpopulationreview.com/countries/nepal-population" TargetMode="External"/><Relationship Id="rId73" Type="http://schemas.openxmlformats.org/officeDocument/2006/relationships/hyperlink" Target="https://worldpopulationreview.com/countries/panama-population" TargetMode="External"/><Relationship Id="rId78" Type="http://schemas.openxmlformats.org/officeDocument/2006/relationships/hyperlink" Target="https://worldpopulationreview.com/countries/puerto-rico-population" TargetMode="External"/><Relationship Id="rId81" Type="http://schemas.openxmlformats.org/officeDocument/2006/relationships/hyperlink" Target="https://worldpopulationreview.com/countries/russia-population" TargetMode="External"/><Relationship Id="rId86" Type="http://schemas.openxmlformats.org/officeDocument/2006/relationships/hyperlink" Target="https://worldpopulationreview.com/countries/slovenia-population" TargetMode="External"/><Relationship Id="rId94" Type="http://schemas.openxmlformats.org/officeDocument/2006/relationships/hyperlink" Target="https://worldpopulationreview.com/countries/taiwan-population" TargetMode="External"/><Relationship Id="rId99" Type="http://schemas.openxmlformats.org/officeDocument/2006/relationships/hyperlink" Target="https://worldpopulationreview.com/countries/united-arab-emirates-population" TargetMode="External"/><Relationship Id="rId101" Type="http://schemas.openxmlformats.org/officeDocument/2006/relationships/hyperlink" Target="https://worldpopulationreview.com/countries/united-states-population" TargetMode="External"/><Relationship Id="rId4" Type="http://schemas.openxmlformats.org/officeDocument/2006/relationships/hyperlink" Target="https://worldpopulationreview.com/countries/armenia-population" TargetMode="External"/><Relationship Id="rId9" Type="http://schemas.openxmlformats.org/officeDocument/2006/relationships/hyperlink" Target="https://worldpopulationreview.com/countries/belarus-population" TargetMode="External"/><Relationship Id="rId13" Type="http://schemas.openxmlformats.org/officeDocument/2006/relationships/hyperlink" Target="https://worldpopulationreview.com/countries/brazil-population" TargetMode="External"/><Relationship Id="rId18" Type="http://schemas.openxmlformats.org/officeDocument/2006/relationships/hyperlink" Target="https://worldpopulationreview.com/countries/chile-population" TargetMode="External"/><Relationship Id="rId39" Type="http://schemas.openxmlformats.org/officeDocument/2006/relationships/hyperlink" Target="https://worldpopulationreview.com/countries/hungary-population" TargetMode="External"/><Relationship Id="rId34" Type="http://schemas.openxmlformats.org/officeDocument/2006/relationships/hyperlink" Target="https://worldpopulationreview.com/countries/germany-population" TargetMode="External"/><Relationship Id="rId50" Type="http://schemas.openxmlformats.org/officeDocument/2006/relationships/hyperlink" Target="https://worldpopulationreview.com/countries/kazakhstan-population" TargetMode="External"/><Relationship Id="rId55" Type="http://schemas.openxmlformats.org/officeDocument/2006/relationships/hyperlink" Target="https://worldpopulationreview.com/countries/lebanon-population" TargetMode="External"/><Relationship Id="rId76" Type="http://schemas.openxmlformats.org/officeDocument/2006/relationships/hyperlink" Target="https://worldpopulationreview.com/countries/poland-population" TargetMode="External"/><Relationship Id="rId97" Type="http://schemas.openxmlformats.org/officeDocument/2006/relationships/hyperlink" Target="https://worldpopulationreview.com/countries/turkey-population" TargetMode="External"/><Relationship Id="rId104" Type="http://schemas.openxmlformats.org/officeDocument/2006/relationships/hyperlink" Target="https://worldpopulationreview.com/countries/venezuela-population" TargetMode="External"/><Relationship Id="rId7" Type="http://schemas.openxmlformats.org/officeDocument/2006/relationships/hyperlink" Target="https://worldpopulationreview.com/countries/azerbaijan-population" TargetMode="External"/><Relationship Id="rId71" Type="http://schemas.openxmlformats.org/officeDocument/2006/relationships/hyperlink" Target="https://worldpopulationreview.com/countries/pakistan-population" TargetMode="External"/><Relationship Id="rId92" Type="http://schemas.openxmlformats.org/officeDocument/2006/relationships/hyperlink" Target="https://worldpopulationreview.com/countries/switzerland-population" TargetMode="External"/><Relationship Id="rId2" Type="http://schemas.openxmlformats.org/officeDocument/2006/relationships/hyperlink" Target="https://worldpopulationreview.com/countries/algeria-population" TargetMode="External"/><Relationship Id="rId29" Type="http://schemas.openxmlformats.org/officeDocument/2006/relationships/hyperlink" Target="https://worldpopulationreview.com/countries/estonia-population" TargetMode="External"/><Relationship Id="rId24" Type="http://schemas.openxmlformats.org/officeDocument/2006/relationships/hyperlink" Target="https://worldpopulationreview.com/countries/czech-republic-population" TargetMode="External"/><Relationship Id="rId40" Type="http://schemas.openxmlformats.org/officeDocument/2006/relationships/hyperlink" Target="https://worldpopulationreview.com/countries/iceland-population" TargetMode="External"/><Relationship Id="rId45" Type="http://schemas.openxmlformats.org/officeDocument/2006/relationships/hyperlink" Target="https://worldpopulationreview.com/countries/ireland-population" TargetMode="External"/><Relationship Id="rId66" Type="http://schemas.openxmlformats.org/officeDocument/2006/relationships/hyperlink" Target="https://worldpopulationreview.com/countries/netherlands-population" TargetMode="External"/><Relationship Id="rId87" Type="http://schemas.openxmlformats.org/officeDocument/2006/relationships/hyperlink" Target="https://worldpopulationreview.com/countries/south-africa-population" TargetMode="External"/><Relationship Id="rId61" Type="http://schemas.openxmlformats.org/officeDocument/2006/relationships/hyperlink" Target="https://worldpopulationreview.com/countries/moldova-population" TargetMode="External"/><Relationship Id="rId82" Type="http://schemas.openxmlformats.org/officeDocument/2006/relationships/hyperlink" Target="https://worldpopulationreview.com/countries/saudi-arabia-population" TargetMode="External"/><Relationship Id="rId19" Type="http://schemas.openxmlformats.org/officeDocument/2006/relationships/hyperlink" Target="https://worldpopulationreview.com/countries/china-population" TargetMode="External"/><Relationship Id="rId14" Type="http://schemas.openxmlformats.org/officeDocument/2006/relationships/hyperlink" Target="https://worldpopulationreview.com/countries/bulgaria-population" TargetMode="External"/><Relationship Id="rId30" Type="http://schemas.openxmlformats.org/officeDocument/2006/relationships/hyperlink" Target="https://worldpopulationreview.com/countries/ethiopia-population" TargetMode="External"/><Relationship Id="rId35" Type="http://schemas.openxmlformats.org/officeDocument/2006/relationships/hyperlink" Target="https://worldpopulationreview.com/countries/greece-population" TargetMode="External"/><Relationship Id="rId56" Type="http://schemas.openxmlformats.org/officeDocument/2006/relationships/hyperlink" Target="https://worldpopulationreview.com/countries/lithuania-population" TargetMode="External"/><Relationship Id="rId77" Type="http://schemas.openxmlformats.org/officeDocument/2006/relationships/hyperlink" Target="https://worldpopulationreview.com/countries/portugal-population" TargetMode="External"/><Relationship Id="rId100" Type="http://schemas.openxmlformats.org/officeDocument/2006/relationships/hyperlink" Target="https://worldpopulationreview.com/countries/united-kingdom-population" TargetMode="External"/><Relationship Id="rId105" Type="http://schemas.openxmlformats.org/officeDocument/2006/relationships/hyperlink" Target="https://worldpopulationreview.com/countries/vietnam-population" TargetMode="External"/><Relationship Id="rId8" Type="http://schemas.openxmlformats.org/officeDocument/2006/relationships/hyperlink" Target="https://worldpopulationreview.com/countries/bahamas-population" TargetMode="External"/><Relationship Id="rId51" Type="http://schemas.openxmlformats.org/officeDocument/2006/relationships/hyperlink" Target="https://worldpopulationreview.com/countries/kenya-population" TargetMode="External"/><Relationship Id="rId72" Type="http://schemas.openxmlformats.org/officeDocument/2006/relationships/hyperlink" Target="https://worldpopulationreview.com/countries/palestine-population" TargetMode="External"/><Relationship Id="rId93" Type="http://schemas.openxmlformats.org/officeDocument/2006/relationships/hyperlink" Target="https://worldpopulationreview.com/countries/syria-population" TargetMode="External"/><Relationship Id="rId98" Type="http://schemas.openxmlformats.org/officeDocument/2006/relationships/hyperlink" Target="https://worldpopulationreview.com/countries/ukraine-population" TargetMode="External"/><Relationship Id="rId3" Type="http://schemas.openxmlformats.org/officeDocument/2006/relationships/hyperlink" Target="https://worldpopulationreview.com/countries/argentina-population" TargetMode="External"/><Relationship Id="rId25" Type="http://schemas.openxmlformats.org/officeDocument/2006/relationships/hyperlink" Target="https://worldpopulationreview.com/countries/denmark-population" TargetMode="External"/><Relationship Id="rId46" Type="http://schemas.openxmlformats.org/officeDocument/2006/relationships/hyperlink" Target="https://worldpopulationreview.com/countries/israel-population" TargetMode="External"/><Relationship Id="rId67" Type="http://schemas.openxmlformats.org/officeDocument/2006/relationships/hyperlink" Target="https://worldpopulationreview.com/countries/new-zealand-popul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2EE4A-6A39-497E-AC02-3112BA3BBF97}">
  <dimension ref="A1:T51"/>
  <sheetViews>
    <sheetView workbookViewId="0">
      <selection activeCell="B1" sqref="B1"/>
    </sheetView>
  </sheetViews>
  <sheetFormatPr defaultRowHeight="15"/>
  <sheetData>
    <row r="1" spans="1:20" ht="151.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43.5">
      <c r="A2" s="2" t="s">
        <v>3</v>
      </c>
      <c r="B2" s="2">
        <v>551</v>
      </c>
      <c r="C2" s="2">
        <f>B2 / 0.88</f>
        <v>626.13636363636363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43.5">
      <c r="A3" s="2" t="s">
        <v>4</v>
      </c>
      <c r="B3" s="2">
        <v>5939</v>
      </c>
      <c r="C3" s="2">
        <f t="shared" ref="C3:C51" si="0">B3 / 0.88</f>
        <v>6748.863636363636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43.5">
      <c r="A4" s="2" t="s">
        <v>5</v>
      </c>
      <c r="B4" s="2">
        <v>41</v>
      </c>
      <c r="C4" s="2">
        <f t="shared" si="0"/>
        <v>46.590909090909093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43.5">
      <c r="A5" s="2" t="s">
        <v>6</v>
      </c>
      <c r="B5" s="2">
        <v>1555</v>
      </c>
      <c r="C5" s="2">
        <f t="shared" si="0"/>
        <v>1767.0454545454545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21.75">
      <c r="A6" s="2" t="s">
        <v>7</v>
      </c>
      <c r="B6" s="2">
        <v>5314</v>
      </c>
      <c r="C6" s="2">
        <f t="shared" si="0"/>
        <v>6038.636363636364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43.5">
      <c r="A7" s="2" t="s">
        <v>8</v>
      </c>
      <c r="B7" s="2">
        <v>368</v>
      </c>
      <c r="C7" s="2">
        <f t="shared" si="0"/>
        <v>418.18181818181819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43.5">
      <c r="A8" s="2" t="s">
        <v>9</v>
      </c>
      <c r="B8" s="2">
        <v>9176</v>
      </c>
      <c r="C8" s="2">
        <f t="shared" si="0"/>
        <v>10427.272727272728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21.75">
      <c r="A9" s="2" t="s">
        <v>10</v>
      </c>
      <c r="B9" s="2">
        <v>5757</v>
      </c>
      <c r="C9" s="2">
        <f t="shared" si="0"/>
        <v>6542.045454545455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21.75">
      <c r="A10" s="2" t="s">
        <v>11</v>
      </c>
      <c r="B10" s="2">
        <v>1008</v>
      </c>
      <c r="C10" s="2">
        <f t="shared" si="0"/>
        <v>1145.4545454545455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43.5">
      <c r="A11" s="2" t="s">
        <v>12</v>
      </c>
      <c r="B11" s="2">
        <v>0</v>
      </c>
      <c r="C11" s="2">
        <f t="shared" si="0"/>
        <v>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43.5">
      <c r="A12" s="2" t="s">
        <v>13</v>
      </c>
      <c r="B12" s="2">
        <v>0</v>
      </c>
      <c r="C12" s="2">
        <f t="shared" si="0"/>
        <v>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86.25">
      <c r="A13" s="2" t="s">
        <v>14</v>
      </c>
      <c r="B13" s="2">
        <v>11405</v>
      </c>
      <c r="C13" s="2">
        <f t="shared" si="0"/>
        <v>12960.227272727272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43.5">
      <c r="A14" s="2" t="s">
        <v>15</v>
      </c>
      <c r="B14" s="2">
        <v>0</v>
      </c>
      <c r="C14" s="2">
        <f t="shared" si="0"/>
        <v>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43.5">
      <c r="A15" s="2" t="s">
        <v>16</v>
      </c>
      <c r="B15" s="2">
        <v>2785</v>
      </c>
      <c r="C15" s="2">
        <f t="shared" si="0"/>
        <v>3164.7727272727275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43.5">
      <c r="A16" s="2" t="s">
        <v>17</v>
      </c>
      <c r="B16" s="2">
        <v>499</v>
      </c>
      <c r="C16" s="2">
        <f t="shared" si="0"/>
        <v>567.0454545454545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43.5">
      <c r="A17" s="2" t="s">
        <v>18</v>
      </c>
      <c r="B17" s="2">
        <v>311</v>
      </c>
      <c r="C17" s="2">
        <f t="shared" si="0"/>
        <v>353.40909090909093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43.5">
      <c r="A18" s="2" t="s">
        <v>19</v>
      </c>
      <c r="B18" s="2">
        <v>4988</v>
      </c>
      <c r="C18" s="2">
        <f t="shared" si="0"/>
        <v>5668.181818181818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43.5">
      <c r="A19" s="2" t="s">
        <v>20</v>
      </c>
      <c r="B19" s="2">
        <v>919</v>
      </c>
      <c r="C19" s="2">
        <f t="shared" si="0"/>
        <v>1044.3181818181818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21.75">
      <c r="A20" s="2" t="s">
        <v>21</v>
      </c>
      <c r="B20" s="2">
        <v>2816</v>
      </c>
      <c r="C20" s="2">
        <f t="shared" si="0"/>
        <v>3200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43.5">
      <c r="A21" s="2" t="s">
        <v>22</v>
      </c>
      <c r="B21" s="2">
        <v>2316</v>
      </c>
      <c r="C21" s="2">
        <f t="shared" si="0"/>
        <v>2631.818181818182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43.5">
      <c r="A22" s="2" t="s">
        <v>23</v>
      </c>
      <c r="B22" s="2">
        <v>7231</v>
      </c>
      <c r="C22" s="2">
        <f t="shared" si="0"/>
        <v>8217.045454545454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21.75">
      <c r="A23" s="2" t="s">
        <v>24</v>
      </c>
      <c r="B23" s="2">
        <v>9442</v>
      </c>
      <c r="C23" s="2">
        <f t="shared" si="0"/>
        <v>10729.545454545454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21.75">
      <c r="A24" s="2" t="s">
        <v>25</v>
      </c>
      <c r="B24" s="2">
        <v>2834</v>
      </c>
      <c r="C24" s="2">
        <f t="shared" si="0"/>
        <v>3220.4545454545455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43.5">
      <c r="A25" s="2" t="s">
        <v>26</v>
      </c>
      <c r="B25" s="2">
        <v>8055</v>
      </c>
      <c r="C25" s="2">
        <f t="shared" si="0"/>
        <v>9153.4090909090901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21.75">
      <c r="A26" s="2" t="s">
        <v>27</v>
      </c>
      <c r="B26" s="2">
        <v>8132</v>
      </c>
      <c r="C26" s="2">
        <f t="shared" si="0"/>
        <v>9240.9090909090901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43.5">
      <c r="A27" s="2" t="s">
        <v>28</v>
      </c>
      <c r="B27" s="2">
        <v>1095</v>
      </c>
      <c r="C27" s="2">
        <f t="shared" si="0"/>
        <v>1244.3181818181818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43.5">
      <c r="A28" s="2" t="s">
        <v>29</v>
      </c>
      <c r="B28" s="2">
        <v>3396</v>
      </c>
      <c r="C28" s="2">
        <f t="shared" si="0"/>
        <v>3859.090909090909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43.5">
      <c r="A29" s="2" t="s">
        <v>30</v>
      </c>
      <c r="B29" s="2">
        <v>3364</v>
      </c>
      <c r="C29" s="2">
        <f t="shared" si="0"/>
        <v>3822.7272727272725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43.5">
      <c r="A30" s="2" t="s">
        <v>31</v>
      </c>
      <c r="B30" s="2">
        <v>2210</v>
      </c>
      <c r="C30" s="2">
        <f t="shared" si="0"/>
        <v>2511.3636363636365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65.25">
      <c r="A31" s="2" t="s">
        <v>32</v>
      </c>
      <c r="B31" s="2">
        <v>5439</v>
      </c>
      <c r="C31" s="2">
        <f t="shared" si="0"/>
        <v>6180.681818181818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43.5">
      <c r="A32" s="2" t="s">
        <v>33</v>
      </c>
      <c r="B32" s="2">
        <v>161</v>
      </c>
      <c r="C32" s="2">
        <f t="shared" si="0"/>
        <v>182.95454545454547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86.25">
      <c r="A33" s="2" t="s">
        <v>34</v>
      </c>
      <c r="B33" s="2">
        <v>4069</v>
      </c>
      <c r="C33" s="2">
        <f t="shared" si="0"/>
        <v>4623.863636363636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43.5">
      <c r="A34" s="2" t="s">
        <v>35</v>
      </c>
      <c r="B34" s="2">
        <v>125</v>
      </c>
      <c r="C34" s="2">
        <f t="shared" si="0"/>
        <v>142.04545454545453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43.5">
      <c r="A35" s="2" t="s">
        <v>36</v>
      </c>
      <c r="B35" s="2">
        <v>1686</v>
      </c>
      <c r="C35" s="2">
        <f t="shared" si="0"/>
        <v>1915.909090909091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43.5">
      <c r="A36" s="2" t="s">
        <v>37</v>
      </c>
      <c r="B36" s="2">
        <v>991</v>
      </c>
      <c r="C36" s="2">
        <f t="shared" si="0"/>
        <v>1126.1363636363637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43.5">
      <c r="A37" s="2" t="s">
        <v>38</v>
      </c>
      <c r="B37" s="2">
        <v>789</v>
      </c>
      <c r="C37" s="2">
        <f t="shared" si="0"/>
        <v>896.59090909090912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21.75">
      <c r="A38" s="2" t="s">
        <v>39</v>
      </c>
      <c r="B38" s="2">
        <v>3780</v>
      </c>
      <c r="C38" s="2">
        <f t="shared" si="0"/>
        <v>4295.454545454545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43.5">
      <c r="A39" s="2" t="s">
        <v>40</v>
      </c>
      <c r="B39" s="2">
        <v>0</v>
      </c>
      <c r="C39" s="2">
        <f t="shared" si="0"/>
        <v>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43.5">
      <c r="A40" s="2" t="s">
        <v>41</v>
      </c>
      <c r="B40" s="2">
        <v>9305</v>
      </c>
      <c r="C40" s="2">
        <f t="shared" si="0"/>
        <v>10573.863636363636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43.5">
      <c r="A41" s="2" t="s">
        <v>42</v>
      </c>
      <c r="B41" s="2">
        <v>9112</v>
      </c>
      <c r="C41" s="2">
        <f t="shared" si="0"/>
        <v>10354.545454545454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43.5">
      <c r="A42" s="2" t="s">
        <v>43</v>
      </c>
      <c r="B42" s="2">
        <v>3862</v>
      </c>
      <c r="C42" s="2">
        <f t="shared" si="0"/>
        <v>4388.636363636364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43.5">
      <c r="A43" s="2" t="s">
        <v>44</v>
      </c>
      <c r="B43" s="2">
        <v>3655</v>
      </c>
      <c r="C43" s="2">
        <f t="shared" si="0"/>
        <v>4153.409090909091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21.75">
      <c r="A44" s="2" t="s">
        <v>45</v>
      </c>
      <c r="B44" s="2">
        <v>4882</v>
      </c>
      <c r="C44" s="2">
        <f t="shared" si="0"/>
        <v>5547.727272727273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43.5">
      <c r="A45" s="2" t="s">
        <v>46</v>
      </c>
      <c r="B45" s="2">
        <v>0</v>
      </c>
      <c r="C45" s="2">
        <f t="shared" si="0"/>
        <v>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43.5">
      <c r="A46" s="2" t="s">
        <v>47</v>
      </c>
      <c r="B46" s="2">
        <v>1373</v>
      </c>
      <c r="C46" s="2">
        <f t="shared" si="0"/>
        <v>1560.2272727272727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43.5">
      <c r="A47" s="2" t="s">
        <v>48</v>
      </c>
      <c r="B47" s="2">
        <v>24</v>
      </c>
      <c r="C47" s="2">
        <f t="shared" si="0"/>
        <v>27.272727272727273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08.75">
      <c r="A48" s="2" t="s">
        <v>49</v>
      </c>
      <c r="B48" s="2">
        <v>12535</v>
      </c>
      <c r="C48" s="2">
        <f t="shared" si="0"/>
        <v>14244.318181818182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43.5">
      <c r="A49" s="2" t="s">
        <v>50</v>
      </c>
      <c r="B49" s="2">
        <v>1416</v>
      </c>
      <c r="C49" s="2">
        <f t="shared" si="0"/>
        <v>1609.090909090909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65.25">
      <c r="A50" s="2" t="s">
        <v>51</v>
      </c>
      <c r="B50" s="2">
        <v>27091</v>
      </c>
      <c r="C50" s="2">
        <f t="shared" si="0"/>
        <v>30785.227272727272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21.75">
      <c r="A51" s="2" t="s">
        <v>52</v>
      </c>
      <c r="B51" s="2">
        <v>10834</v>
      </c>
      <c r="C51" s="2">
        <f t="shared" si="0"/>
        <v>12311.363636363636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4D7F-7898-4BCF-9120-36B05758E919}">
  <dimension ref="A1:D809"/>
  <sheetViews>
    <sheetView topLeftCell="A89" workbookViewId="0">
      <selection activeCell="A90" sqref="A90"/>
    </sheetView>
  </sheetViews>
  <sheetFormatPr defaultRowHeight="15"/>
  <sheetData>
    <row r="1" spans="1:3">
      <c r="A1" t="s">
        <v>0</v>
      </c>
      <c r="B1" t="s">
        <v>53</v>
      </c>
      <c r="C1" t="s">
        <v>54</v>
      </c>
    </row>
    <row r="2" spans="1:3" ht="33.75">
      <c r="A2" s="22" t="s">
        <v>55</v>
      </c>
      <c r="B2" s="21">
        <v>49</v>
      </c>
      <c r="C2" s="21">
        <v>85.1</v>
      </c>
    </row>
    <row r="3" spans="1:3" ht="17.25">
      <c r="A3" s="24" t="s">
        <v>56</v>
      </c>
      <c r="B3" s="23">
        <v>54.7</v>
      </c>
      <c r="C3" s="23">
        <v>98.8</v>
      </c>
    </row>
    <row r="4" spans="1:3" ht="33.75">
      <c r="A4" s="26" t="s">
        <v>3</v>
      </c>
      <c r="B4" s="25">
        <v>68.099999999999994</v>
      </c>
      <c r="C4" s="25">
        <v>123.2</v>
      </c>
    </row>
    <row r="5" spans="1:3" ht="33.75">
      <c r="A5" s="24" t="s">
        <v>4</v>
      </c>
      <c r="B5" s="23">
        <v>73.099999999999994</v>
      </c>
      <c r="C5" s="23">
        <v>132.5</v>
      </c>
    </row>
    <row r="6" spans="1:3" ht="17.25">
      <c r="A6" s="26" t="s">
        <v>5</v>
      </c>
      <c r="B6" s="25">
        <v>77.2</v>
      </c>
      <c r="C6" s="25">
        <v>140.5</v>
      </c>
    </row>
    <row r="7" spans="1:3" ht="33.75">
      <c r="A7" s="24" t="s">
        <v>57</v>
      </c>
      <c r="B7" s="23">
        <v>48.3</v>
      </c>
      <c r="C7" s="23">
        <v>83.9</v>
      </c>
    </row>
    <row r="8" spans="1:3" ht="33.75">
      <c r="A8" s="26" t="s">
        <v>58</v>
      </c>
      <c r="B8" s="25">
        <v>42.2</v>
      </c>
      <c r="C8" s="25">
        <v>72.099999999999994</v>
      </c>
    </row>
    <row r="9" spans="1:3" ht="33.75">
      <c r="A9" s="24" t="s">
        <v>59</v>
      </c>
      <c r="B9" s="23">
        <v>48.2</v>
      </c>
      <c r="C9" s="23">
        <v>85.1</v>
      </c>
    </row>
    <row r="10" spans="1:3" ht="33.75">
      <c r="A10" s="26" t="s">
        <v>6</v>
      </c>
      <c r="B10" s="25">
        <v>75.599999999999994</v>
      </c>
      <c r="C10" s="25">
        <v>137.19999999999999</v>
      </c>
    </row>
    <row r="11" spans="1:3" ht="68.25">
      <c r="A11" s="24" t="s">
        <v>60</v>
      </c>
      <c r="B11" s="23">
        <v>55.6</v>
      </c>
      <c r="C11" s="23">
        <v>99.5</v>
      </c>
    </row>
    <row r="12" spans="1:3" ht="17.25">
      <c r="A12" s="26" t="s">
        <v>7</v>
      </c>
      <c r="B12" s="25">
        <v>59</v>
      </c>
      <c r="C12" s="25">
        <v>105</v>
      </c>
    </row>
    <row r="13" spans="1:3" ht="33.75">
      <c r="A13" s="24" t="s">
        <v>8</v>
      </c>
      <c r="B13" s="23">
        <v>58</v>
      </c>
      <c r="C13" s="23">
        <v>103</v>
      </c>
    </row>
    <row r="14" spans="1:3" ht="33.75">
      <c r="A14" s="26" t="s">
        <v>9</v>
      </c>
      <c r="B14" s="25">
        <v>69.099999999999994</v>
      </c>
      <c r="C14" s="25">
        <v>126.7</v>
      </c>
    </row>
    <row r="15" spans="1:3" ht="17.25">
      <c r="A15" s="24" t="s">
        <v>10</v>
      </c>
      <c r="B15" s="23">
        <v>63.3</v>
      </c>
      <c r="C15" s="23">
        <v>115.3</v>
      </c>
    </row>
    <row r="16" spans="1:3" ht="17.25">
      <c r="A16" s="26" t="s">
        <v>11</v>
      </c>
      <c r="B16" s="25">
        <v>68.3</v>
      </c>
      <c r="C16" s="25">
        <v>122.9</v>
      </c>
    </row>
    <row r="17" spans="1:3" ht="33.75">
      <c r="A17" s="24" t="s">
        <v>61</v>
      </c>
      <c r="B17" s="23">
        <v>68.2</v>
      </c>
      <c r="C17" s="23">
        <v>122.7</v>
      </c>
    </row>
    <row r="18" spans="1:3" ht="33.75">
      <c r="A18" s="26" t="s">
        <v>62</v>
      </c>
      <c r="B18" s="25">
        <v>63.8</v>
      </c>
      <c r="C18" s="25">
        <v>114.9</v>
      </c>
    </row>
    <row r="19" spans="1:3" ht="33.75">
      <c r="A19" s="24" t="s">
        <v>63</v>
      </c>
      <c r="B19" s="23">
        <v>65</v>
      </c>
      <c r="C19" s="23">
        <v>118.4</v>
      </c>
    </row>
    <row r="20" spans="1:3" ht="33.75">
      <c r="A20" s="26" t="s">
        <v>64</v>
      </c>
      <c r="B20" s="25">
        <v>56.8</v>
      </c>
      <c r="C20" s="25">
        <v>99.3</v>
      </c>
    </row>
    <row r="21" spans="1:3" ht="51">
      <c r="A21" s="24" t="s">
        <v>65</v>
      </c>
      <c r="B21" s="23">
        <v>75.599999999999994</v>
      </c>
      <c r="C21" s="23">
        <v>138.80000000000001</v>
      </c>
    </row>
    <row r="22" spans="1:3" ht="33.75">
      <c r="A22" s="26" t="s">
        <v>13</v>
      </c>
      <c r="B22" s="25">
        <v>78.5</v>
      </c>
      <c r="C22" s="25">
        <v>144.5</v>
      </c>
    </row>
    <row r="23" spans="1:3" ht="68.25">
      <c r="A23" s="24" t="s">
        <v>66</v>
      </c>
      <c r="B23" s="23">
        <v>58.4</v>
      </c>
      <c r="C23" s="23">
        <v>102.8</v>
      </c>
    </row>
    <row r="24" spans="1:3" ht="33.75">
      <c r="A24" s="26" t="s">
        <v>67</v>
      </c>
      <c r="B24" s="25">
        <v>68.400000000000006</v>
      </c>
      <c r="C24" s="25">
        <v>122.2</v>
      </c>
    </row>
    <row r="25" spans="1:3" ht="17.25">
      <c r="A25" s="24" t="s">
        <v>68</v>
      </c>
      <c r="B25" s="23">
        <v>47.5</v>
      </c>
      <c r="C25" s="23">
        <v>81.599999999999994</v>
      </c>
    </row>
    <row r="26" spans="1:3" ht="33.75">
      <c r="A26" s="26" t="s">
        <v>69</v>
      </c>
      <c r="B26" s="25">
        <v>75.900000000000006</v>
      </c>
      <c r="C26" s="25">
        <v>139.30000000000001</v>
      </c>
    </row>
    <row r="27" spans="1:3" ht="33.75">
      <c r="A27" s="24" t="s">
        <v>15</v>
      </c>
      <c r="B27" s="23">
        <v>77.5</v>
      </c>
      <c r="C27" s="23">
        <v>141.4</v>
      </c>
    </row>
    <row r="28" spans="1:3" ht="17.25">
      <c r="A28" s="26" t="s">
        <v>16</v>
      </c>
      <c r="B28" s="25">
        <v>77.8</v>
      </c>
      <c r="C28" s="25">
        <v>142.1</v>
      </c>
    </row>
    <row r="29" spans="1:3" ht="33.75">
      <c r="A29" s="24" t="s">
        <v>70</v>
      </c>
      <c r="B29" s="23">
        <v>55.4</v>
      </c>
      <c r="C29" s="23">
        <v>96.6</v>
      </c>
    </row>
    <row r="30" spans="1:3" ht="33.75">
      <c r="A30" s="26" t="s">
        <v>17</v>
      </c>
      <c r="B30" s="25">
        <v>72</v>
      </c>
      <c r="C30" s="25">
        <v>130.80000000000001</v>
      </c>
    </row>
    <row r="31" spans="1:3" ht="33.75">
      <c r="A31" s="24" t="s">
        <v>18</v>
      </c>
      <c r="B31" s="23">
        <v>57.6</v>
      </c>
      <c r="C31" s="23">
        <v>102.3</v>
      </c>
    </row>
    <row r="32" spans="1:3" ht="33.75">
      <c r="A32" s="26" t="s">
        <v>71</v>
      </c>
      <c r="B32" s="25">
        <v>67.3</v>
      </c>
      <c r="C32" s="25">
        <v>120.2</v>
      </c>
    </row>
    <row r="33" spans="1:3" ht="68.25">
      <c r="A33" s="24" t="s">
        <v>72</v>
      </c>
      <c r="B33" s="23">
        <v>66</v>
      </c>
      <c r="C33" s="23">
        <v>119.9</v>
      </c>
    </row>
    <row r="34" spans="1:3" ht="33.75">
      <c r="A34" s="26" t="s">
        <v>73</v>
      </c>
      <c r="B34" s="25">
        <v>54</v>
      </c>
      <c r="C34" s="25">
        <v>97</v>
      </c>
    </row>
    <row r="35" spans="1:3" ht="33.75">
      <c r="A35" s="24" t="s">
        <v>20</v>
      </c>
      <c r="B35" s="23">
        <v>67.7</v>
      </c>
      <c r="C35" s="23">
        <v>123.4</v>
      </c>
    </row>
    <row r="36" spans="1:3" ht="17.25">
      <c r="A36" s="26" t="s">
        <v>21</v>
      </c>
      <c r="B36" s="25">
        <v>65.400000000000006</v>
      </c>
      <c r="C36" s="25">
        <v>116.9</v>
      </c>
    </row>
    <row r="37" spans="1:3" ht="33.75">
      <c r="A37" s="24" t="s">
        <v>22</v>
      </c>
      <c r="B37" s="23">
        <v>60.8</v>
      </c>
      <c r="C37" s="23">
        <v>107.9</v>
      </c>
    </row>
    <row r="38" spans="1:3" ht="17.25">
      <c r="A38" s="26" t="s">
        <v>74</v>
      </c>
      <c r="B38" s="25">
        <v>52.5</v>
      </c>
      <c r="C38" s="25">
        <v>91.5</v>
      </c>
    </row>
    <row r="39" spans="1:3" ht="17.25">
      <c r="A39" s="24" t="s">
        <v>75</v>
      </c>
      <c r="B39" s="23">
        <v>45.4</v>
      </c>
      <c r="C39" s="23">
        <v>77.400000000000006</v>
      </c>
    </row>
    <row r="40" spans="1:3" ht="17.25">
      <c r="A40" s="26" t="s">
        <v>23</v>
      </c>
      <c r="B40" s="25">
        <v>51.3</v>
      </c>
      <c r="C40" s="25">
        <v>93.4</v>
      </c>
    </row>
    <row r="41" spans="1:3" ht="17.25">
      <c r="A41" s="24" t="s">
        <v>24</v>
      </c>
      <c r="B41" s="23">
        <v>73.3</v>
      </c>
      <c r="C41" s="23">
        <v>134.30000000000001</v>
      </c>
    </row>
    <row r="42" spans="1:3" ht="17.25">
      <c r="A42" s="26" t="s">
        <v>25</v>
      </c>
      <c r="B42" s="25">
        <v>65.3</v>
      </c>
      <c r="C42" s="25">
        <v>118.2</v>
      </c>
    </row>
    <row r="43" spans="1:3" ht="17.25">
      <c r="A43" s="24" t="s">
        <v>27</v>
      </c>
      <c r="B43" s="23">
        <v>79.7</v>
      </c>
      <c r="C43" s="23">
        <v>145.19999999999999</v>
      </c>
    </row>
    <row r="44" spans="1:3" ht="17.25">
      <c r="A44" s="26" t="s">
        <v>76</v>
      </c>
      <c r="B44" s="25">
        <v>65</v>
      </c>
      <c r="C44" s="25">
        <v>116.8</v>
      </c>
    </row>
    <row r="45" spans="1:3" ht="33.75">
      <c r="A45" s="24" t="s">
        <v>77</v>
      </c>
      <c r="B45" s="23">
        <v>60.1</v>
      </c>
      <c r="C45" s="23">
        <v>106.1</v>
      </c>
    </row>
    <row r="46" spans="1:3" ht="17.25">
      <c r="A46" s="26" t="s">
        <v>78</v>
      </c>
      <c r="B46" s="25">
        <v>61.5</v>
      </c>
      <c r="C46" s="25">
        <v>109.1</v>
      </c>
    </row>
    <row r="47" spans="1:3" ht="17.25">
      <c r="A47" s="24" t="s">
        <v>79</v>
      </c>
      <c r="B47" s="23">
        <v>57.9</v>
      </c>
      <c r="C47" s="23">
        <v>103.4</v>
      </c>
    </row>
    <row r="48" spans="1:3" ht="17.25">
      <c r="A48" s="26" t="s">
        <v>80</v>
      </c>
      <c r="B48" s="25">
        <v>62.4</v>
      </c>
      <c r="C48" s="25">
        <v>111.9</v>
      </c>
    </row>
    <row r="49" spans="1:3" ht="33.75">
      <c r="A49" s="24" t="s">
        <v>81</v>
      </c>
      <c r="B49" s="23">
        <v>63.7</v>
      </c>
      <c r="C49" s="23">
        <v>118.7</v>
      </c>
    </row>
    <row r="50" spans="1:3" ht="33.75">
      <c r="A50" s="26" t="s">
        <v>28</v>
      </c>
      <c r="B50" s="25">
        <v>74.900000000000006</v>
      </c>
      <c r="C50" s="25">
        <v>136.6</v>
      </c>
    </row>
    <row r="51" spans="1:3" ht="33.75">
      <c r="A51" s="24" t="s">
        <v>82</v>
      </c>
      <c r="B51" s="23">
        <v>75.3</v>
      </c>
      <c r="C51" s="23">
        <v>136.9</v>
      </c>
    </row>
    <row r="52" spans="1:3" ht="33.75">
      <c r="A52" s="26" t="s">
        <v>29</v>
      </c>
      <c r="B52" s="25">
        <v>70.2</v>
      </c>
      <c r="C52" s="25">
        <v>126.5</v>
      </c>
    </row>
    <row r="53" spans="1:3" ht="17.25">
      <c r="A53" s="24" t="s">
        <v>83</v>
      </c>
      <c r="B53" s="23">
        <v>51.9</v>
      </c>
      <c r="C53" s="23">
        <v>89.9</v>
      </c>
    </row>
    <row r="54" spans="1:3" ht="33.75">
      <c r="A54" s="26" t="s">
        <v>30</v>
      </c>
      <c r="B54" s="25">
        <v>72.400000000000006</v>
      </c>
      <c r="C54" s="25">
        <v>130.6</v>
      </c>
    </row>
    <row r="55" spans="1:3" ht="33.75">
      <c r="A55" s="24" t="s">
        <v>84</v>
      </c>
      <c r="B55" s="23">
        <v>46.5</v>
      </c>
      <c r="C55" s="23">
        <v>79.599999999999994</v>
      </c>
    </row>
    <row r="56" spans="1:3" ht="17.25">
      <c r="A56" s="26" t="s">
        <v>85</v>
      </c>
      <c r="B56" s="25">
        <v>57.2</v>
      </c>
      <c r="C56" s="25">
        <v>100.5</v>
      </c>
    </row>
    <row r="57" spans="1:3" ht="33.75">
      <c r="A57" s="24" t="s">
        <v>31</v>
      </c>
      <c r="B57" s="23">
        <v>79.3</v>
      </c>
      <c r="C57" s="23">
        <v>145</v>
      </c>
    </row>
    <row r="58" spans="1:3" ht="51">
      <c r="A58" s="26" t="s">
        <v>32</v>
      </c>
      <c r="B58" s="25">
        <v>68.599999999999994</v>
      </c>
      <c r="C58" s="25">
        <v>124</v>
      </c>
    </row>
    <row r="59" spans="1:3" ht="33.75">
      <c r="A59" s="24" t="s">
        <v>33</v>
      </c>
      <c r="B59" s="23">
        <v>48.2</v>
      </c>
      <c r="C59" s="23">
        <v>83.1</v>
      </c>
    </row>
    <row r="60" spans="1:3" ht="51">
      <c r="A60" s="26" t="s">
        <v>86</v>
      </c>
      <c r="B60" s="25">
        <v>55.4</v>
      </c>
      <c r="C60" s="25">
        <v>99.2</v>
      </c>
    </row>
    <row r="61" spans="1:3" ht="33.75">
      <c r="A61" s="24" t="s">
        <v>35</v>
      </c>
      <c r="B61" s="23">
        <v>76</v>
      </c>
      <c r="C61" s="23">
        <v>138.69999999999999</v>
      </c>
    </row>
    <row r="62" spans="1:3" ht="17.25">
      <c r="A62" s="26" t="s">
        <v>87</v>
      </c>
      <c r="B62" s="25">
        <v>65.099999999999994</v>
      </c>
      <c r="C62" s="25">
        <v>116.5</v>
      </c>
    </row>
    <row r="63" spans="1:3" ht="33.75">
      <c r="A63" s="24" t="s">
        <v>88</v>
      </c>
      <c r="B63" s="23">
        <v>59.1</v>
      </c>
      <c r="C63" s="23">
        <v>104.3</v>
      </c>
    </row>
    <row r="64" spans="1:3" ht="33.75">
      <c r="A64" s="26" t="s">
        <v>89</v>
      </c>
      <c r="B64" s="25">
        <v>60.1</v>
      </c>
      <c r="C64" s="25">
        <v>106.4</v>
      </c>
    </row>
    <row r="65" spans="1:3" ht="17.25">
      <c r="A65" s="24" t="s">
        <v>90</v>
      </c>
      <c r="B65" s="23">
        <v>56.3</v>
      </c>
      <c r="C65" s="23">
        <v>98.6</v>
      </c>
    </row>
    <row r="66" spans="1:3" ht="33.75">
      <c r="A66" s="26" t="s">
        <v>91</v>
      </c>
      <c r="B66" s="25">
        <v>67.099999999999994</v>
      </c>
      <c r="C66" s="25">
        <v>120.1</v>
      </c>
    </row>
    <row r="67" spans="1:3" ht="17.25">
      <c r="A67" s="24" t="s">
        <v>36</v>
      </c>
      <c r="B67" s="23">
        <v>57.7</v>
      </c>
      <c r="C67" s="23">
        <v>102.7</v>
      </c>
    </row>
    <row r="68" spans="1:3" ht="33.75">
      <c r="A68" s="26" t="s">
        <v>37</v>
      </c>
      <c r="B68" s="25">
        <v>72.5</v>
      </c>
      <c r="C68" s="25">
        <v>131.69999999999999</v>
      </c>
    </row>
    <row r="69" spans="1:3" ht="33.75">
      <c r="A69" s="24" t="s">
        <v>92</v>
      </c>
      <c r="B69" s="23">
        <v>58.8</v>
      </c>
      <c r="C69" s="23">
        <v>106.6</v>
      </c>
    </row>
    <row r="70" spans="1:3" ht="17.25">
      <c r="A70" s="26" t="s">
        <v>93</v>
      </c>
      <c r="B70" s="25">
        <v>73.400000000000006</v>
      </c>
      <c r="C70" s="25">
        <v>133.69999999999999</v>
      </c>
    </row>
    <row r="71" spans="1:3" ht="33.75">
      <c r="A71" s="24" t="s">
        <v>38</v>
      </c>
      <c r="B71" s="23">
        <v>56.4</v>
      </c>
      <c r="C71" s="23">
        <v>99.3</v>
      </c>
    </row>
    <row r="72" spans="1:3" ht="17.25">
      <c r="A72" s="26" t="s">
        <v>39</v>
      </c>
      <c r="B72" s="25">
        <v>61.1</v>
      </c>
      <c r="C72" s="25">
        <v>108.4</v>
      </c>
    </row>
    <row r="73" spans="1:3" ht="33.75">
      <c r="A73" s="24" t="s">
        <v>40</v>
      </c>
      <c r="B73" s="23">
        <v>61.1</v>
      </c>
      <c r="C73" s="23">
        <v>108.8</v>
      </c>
    </row>
    <row r="74" spans="1:3" ht="17.25">
      <c r="A74" s="26" t="s">
        <v>94</v>
      </c>
      <c r="B74" s="25">
        <v>52.1</v>
      </c>
      <c r="C74" s="25">
        <v>93.4</v>
      </c>
    </row>
    <row r="75" spans="1:3" ht="33.75">
      <c r="A75" s="24" t="s">
        <v>42</v>
      </c>
      <c r="B75" s="23">
        <v>71.900000000000006</v>
      </c>
      <c r="C75" s="23">
        <v>133.4</v>
      </c>
    </row>
    <row r="76" spans="1:3" ht="33.75">
      <c r="A76" s="26" t="s">
        <v>95</v>
      </c>
      <c r="B76" s="25">
        <v>58.5</v>
      </c>
      <c r="C76" s="25">
        <v>105.7</v>
      </c>
    </row>
    <row r="77" spans="1:3" ht="33.75">
      <c r="A77" s="24" t="s">
        <v>96</v>
      </c>
      <c r="B77" s="23">
        <v>66.3</v>
      </c>
      <c r="C77" s="23">
        <v>122.3</v>
      </c>
    </row>
    <row r="78" spans="1:3" ht="33.75">
      <c r="A78" s="26" t="s">
        <v>43</v>
      </c>
      <c r="B78" s="25">
        <v>63.8</v>
      </c>
      <c r="C78" s="25">
        <v>115</v>
      </c>
    </row>
    <row r="79" spans="1:3" ht="33.75">
      <c r="A79" s="24" t="s">
        <v>44</v>
      </c>
      <c r="B79" s="23">
        <v>83</v>
      </c>
      <c r="C79" s="23">
        <v>151.9</v>
      </c>
    </row>
    <row r="80" spans="1:3" ht="17.25">
      <c r="A80" s="26" t="s">
        <v>45</v>
      </c>
      <c r="B80" s="25">
        <v>77.7</v>
      </c>
      <c r="C80" s="25">
        <v>142.69999999999999</v>
      </c>
    </row>
    <row r="81" spans="1:3" ht="33.75">
      <c r="A81" s="24" t="s">
        <v>97</v>
      </c>
      <c r="B81" s="23">
        <v>71</v>
      </c>
      <c r="C81" s="23">
        <v>128.19999999999999</v>
      </c>
    </row>
    <row r="82" spans="1:3" ht="33.75">
      <c r="A82" s="26" t="s">
        <v>46</v>
      </c>
      <c r="B82" s="25">
        <v>68.3</v>
      </c>
      <c r="C82" s="25">
        <v>124.9</v>
      </c>
    </row>
    <row r="83" spans="1:3" ht="33.75">
      <c r="A83" s="24" t="s">
        <v>47</v>
      </c>
      <c r="B83" s="23">
        <v>71.7</v>
      </c>
      <c r="C83" s="23">
        <v>134</v>
      </c>
    </row>
    <row r="84" spans="1:3" ht="17.25">
      <c r="A84" s="26" t="s">
        <v>98</v>
      </c>
      <c r="B84" s="25">
        <v>86.4</v>
      </c>
      <c r="C84" s="25">
        <v>158.9</v>
      </c>
    </row>
    <row r="85" spans="1:3" ht="33.75">
      <c r="A85" s="24" t="s">
        <v>99</v>
      </c>
      <c r="B85" s="23">
        <v>77.2</v>
      </c>
      <c r="C85" s="23">
        <v>140.6</v>
      </c>
    </row>
    <row r="86" spans="1:3" ht="68.25">
      <c r="A86" s="26" t="s">
        <v>100</v>
      </c>
      <c r="B86" s="25">
        <v>54.1</v>
      </c>
      <c r="C86" s="25">
        <v>100.2</v>
      </c>
    </row>
    <row r="87" spans="1:3" ht="33.75">
      <c r="A87" s="24" t="s">
        <v>101</v>
      </c>
      <c r="B87" s="23">
        <v>57</v>
      </c>
      <c r="C87" s="23">
        <v>100</v>
      </c>
    </row>
    <row r="88" spans="1:3" ht="17.25">
      <c r="A88" s="26" t="s">
        <v>48</v>
      </c>
      <c r="B88" s="25">
        <v>71.099999999999994</v>
      </c>
      <c r="C88" s="25">
        <v>128</v>
      </c>
    </row>
    <row r="89" spans="1:3" ht="33.75">
      <c r="A89" s="24" t="s">
        <v>50</v>
      </c>
      <c r="B89" s="23">
        <v>55.6</v>
      </c>
      <c r="C89" s="23">
        <v>97.5</v>
      </c>
    </row>
    <row r="90" spans="1:3" ht="68.25">
      <c r="A90" s="26" t="s">
        <v>49</v>
      </c>
      <c r="B90" s="25">
        <v>70.400000000000006</v>
      </c>
      <c r="C90" s="25">
        <v>129.5</v>
      </c>
    </row>
    <row r="91" spans="1:3" ht="51">
      <c r="A91" s="24" t="s">
        <v>14</v>
      </c>
      <c r="B91" s="23">
        <v>73.2</v>
      </c>
      <c r="C91" s="23">
        <v>134.30000000000001</v>
      </c>
    </row>
    <row r="92" spans="1:3" ht="33.75">
      <c r="A92" s="26" t="s">
        <v>51</v>
      </c>
      <c r="B92" s="25">
        <v>68</v>
      </c>
      <c r="C92" s="25">
        <v>124.8</v>
      </c>
    </row>
    <row r="93" spans="1:3" ht="33.75">
      <c r="A93" s="24" t="s">
        <v>102</v>
      </c>
      <c r="B93" s="23">
        <v>68.400000000000006</v>
      </c>
      <c r="C93" s="23">
        <v>123.7</v>
      </c>
    </row>
    <row r="94" spans="1:3" ht="33.75">
      <c r="A94" s="26" t="s">
        <v>103</v>
      </c>
      <c r="B94" s="25">
        <v>38.700000000000003</v>
      </c>
      <c r="C94" s="25">
        <v>67.8</v>
      </c>
    </row>
    <row r="95" spans="1:3" ht="33.75">
      <c r="A95" s="24" t="s">
        <v>104</v>
      </c>
      <c r="B95" s="23">
        <v>61.4</v>
      </c>
      <c r="C95" s="23">
        <v>107.9</v>
      </c>
    </row>
    <row r="166" spans="1:4">
      <c r="A166" s="20"/>
    </row>
    <row r="167" spans="1:4" ht="17.25">
      <c r="A167" s="21"/>
      <c r="B167" s="22"/>
      <c r="C167" s="21"/>
      <c r="D167" s="21"/>
    </row>
    <row r="168" spans="1:4" ht="17.25">
      <c r="A168" s="23"/>
      <c r="B168" s="24"/>
      <c r="C168" s="23"/>
      <c r="D168" s="23"/>
    </row>
    <row r="169" spans="1:4" ht="17.25">
      <c r="A169" s="25"/>
      <c r="B169" s="26"/>
      <c r="C169" s="25"/>
      <c r="D169" s="25"/>
    </row>
    <row r="170" spans="1:4" ht="17.25">
      <c r="A170" s="23"/>
      <c r="B170" s="24"/>
      <c r="C170" s="23"/>
      <c r="D170" s="23"/>
    </row>
    <row r="171" spans="1:4" ht="17.25">
      <c r="A171" s="25"/>
      <c r="B171" s="26"/>
      <c r="C171" s="25"/>
      <c r="D171" s="25"/>
    </row>
    <row r="172" spans="1:4" ht="17.25">
      <c r="A172" s="23"/>
      <c r="B172" s="24"/>
      <c r="C172" s="23"/>
      <c r="D172" s="23"/>
    </row>
    <row r="173" spans="1:4" ht="17.25">
      <c r="A173" s="25"/>
      <c r="B173" s="26"/>
      <c r="C173" s="25"/>
      <c r="D173" s="25"/>
    </row>
    <row r="174" spans="1:4" ht="17.25">
      <c r="A174" s="23"/>
      <c r="B174" s="24"/>
      <c r="C174" s="23"/>
      <c r="D174" s="23"/>
    </row>
    <row r="175" spans="1:4" ht="17.25">
      <c r="A175" s="25"/>
      <c r="B175" s="26"/>
      <c r="C175" s="25"/>
      <c r="D175" s="25"/>
    </row>
    <row r="176" spans="1:4" ht="17.25">
      <c r="A176" s="23"/>
      <c r="B176" s="24"/>
      <c r="C176" s="23"/>
      <c r="D176" s="23"/>
    </row>
    <row r="177" spans="1:4" ht="17.25">
      <c r="A177" s="25"/>
      <c r="B177" s="26"/>
      <c r="C177" s="25"/>
      <c r="D177" s="25"/>
    </row>
    <row r="178" spans="1:4" ht="17.25">
      <c r="A178" s="23"/>
      <c r="B178" s="24"/>
      <c r="C178" s="23"/>
      <c r="D178" s="23"/>
    </row>
    <row r="179" spans="1:4" ht="17.25">
      <c r="A179" s="25"/>
      <c r="B179" s="26"/>
      <c r="C179" s="25"/>
      <c r="D179" s="25"/>
    </row>
    <row r="180" spans="1:4" ht="17.25">
      <c r="A180" s="23"/>
      <c r="B180" s="24"/>
      <c r="C180" s="23"/>
      <c r="D180" s="23"/>
    </row>
    <row r="181" spans="1:4" ht="17.25">
      <c r="A181" s="25"/>
      <c r="B181" s="26"/>
      <c r="C181" s="25"/>
      <c r="D181" s="25"/>
    </row>
    <row r="182" spans="1:4" ht="17.25">
      <c r="A182" s="23"/>
      <c r="B182" s="24"/>
      <c r="C182" s="23"/>
      <c r="D182" s="23"/>
    </row>
    <row r="183" spans="1:4" ht="17.25">
      <c r="A183" s="25"/>
      <c r="B183" s="26"/>
      <c r="C183" s="25"/>
      <c r="D183" s="25"/>
    </row>
    <row r="184" spans="1:4" ht="17.25">
      <c r="A184" s="23"/>
      <c r="B184" s="24"/>
      <c r="C184" s="23"/>
      <c r="D184" s="23"/>
    </row>
    <row r="185" spans="1:4" ht="17.25">
      <c r="A185" s="25"/>
      <c r="B185" s="26"/>
      <c r="C185" s="25"/>
      <c r="D185" s="25"/>
    </row>
    <row r="186" spans="1:4" ht="17.25">
      <c r="A186" s="23"/>
      <c r="B186" s="24"/>
      <c r="C186" s="23"/>
      <c r="D186" s="23"/>
    </row>
    <row r="187" spans="1:4" ht="17.25">
      <c r="A187" s="25"/>
      <c r="B187" s="26"/>
      <c r="C187" s="25"/>
      <c r="D187" s="25"/>
    </row>
    <row r="188" spans="1:4" ht="17.25">
      <c r="A188" s="23"/>
      <c r="B188" s="24"/>
      <c r="C188" s="23"/>
      <c r="D188" s="23"/>
    </row>
    <row r="189" spans="1:4" ht="17.25">
      <c r="A189" s="25"/>
      <c r="B189" s="26"/>
      <c r="C189" s="25"/>
      <c r="D189" s="25"/>
    </row>
    <row r="190" spans="1:4" ht="17.25">
      <c r="A190" s="23"/>
      <c r="B190" s="24"/>
      <c r="C190" s="23"/>
      <c r="D190" s="23"/>
    </row>
    <row r="191" spans="1:4" ht="17.25">
      <c r="A191" s="25"/>
      <c r="B191" s="26"/>
      <c r="C191" s="25"/>
      <c r="D191" s="25"/>
    </row>
    <row r="192" spans="1:4" ht="17.25">
      <c r="A192" s="23"/>
      <c r="B192" s="24"/>
      <c r="C192" s="23"/>
      <c r="D192" s="23"/>
    </row>
    <row r="193" spans="1:4" ht="17.25">
      <c r="A193" s="25"/>
      <c r="B193" s="26"/>
      <c r="C193" s="25"/>
      <c r="D193" s="25"/>
    </row>
    <row r="194" spans="1:4" ht="17.25">
      <c r="A194" s="23"/>
      <c r="B194" s="24"/>
      <c r="C194" s="23"/>
      <c r="D194" s="23"/>
    </row>
    <row r="195" spans="1:4" ht="17.25">
      <c r="A195" s="25"/>
      <c r="B195" s="26"/>
      <c r="C195" s="25"/>
      <c r="D195" s="25"/>
    </row>
    <row r="196" spans="1:4" ht="17.25">
      <c r="A196" s="23"/>
      <c r="B196" s="24"/>
      <c r="C196" s="23"/>
      <c r="D196" s="23"/>
    </row>
    <row r="197" spans="1:4" ht="17.25">
      <c r="A197" s="25"/>
      <c r="B197" s="26"/>
      <c r="C197" s="25"/>
      <c r="D197" s="25"/>
    </row>
    <row r="198" spans="1:4" ht="17.25">
      <c r="A198" s="23"/>
      <c r="B198" s="24"/>
      <c r="C198" s="23"/>
      <c r="D198" s="23"/>
    </row>
    <row r="199" spans="1:4" ht="17.25">
      <c r="A199" s="25"/>
      <c r="B199" s="26"/>
      <c r="C199" s="25"/>
      <c r="D199" s="25"/>
    </row>
    <row r="200" spans="1:4" ht="17.25">
      <c r="A200" s="23"/>
      <c r="B200" s="24"/>
      <c r="C200" s="23"/>
      <c r="D200" s="23"/>
    </row>
    <row r="201" spans="1:4" ht="17.25">
      <c r="A201" s="25"/>
      <c r="B201" s="26"/>
      <c r="C201" s="25"/>
      <c r="D201" s="25"/>
    </row>
    <row r="202" spans="1:4" ht="17.25">
      <c r="A202" s="23"/>
      <c r="B202" s="24"/>
      <c r="C202" s="23"/>
      <c r="D202" s="23"/>
    </row>
    <row r="203" spans="1:4" ht="17.25">
      <c r="A203" s="25"/>
      <c r="B203" s="26"/>
      <c r="C203" s="25"/>
      <c r="D203" s="25"/>
    </row>
    <row r="204" spans="1:4" ht="17.25">
      <c r="A204" s="23"/>
      <c r="B204" s="24"/>
      <c r="C204" s="23"/>
      <c r="D204" s="23"/>
    </row>
    <row r="205" spans="1:4" ht="17.25">
      <c r="A205" s="25"/>
      <c r="B205" s="26"/>
      <c r="C205" s="25"/>
      <c r="D205" s="25"/>
    </row>
    <row r="206" spans="1:4" ht="17.25">
      <c r="A206" s="23"/>
      <c r="B206" s="24"/>
      <c r="C206" s="23"/>
      <c r="D206" s="23"/>
    </row>
    <row r="207" spans="1:4" ht="17.25">
      <c r="A207" s="25"/>
      <c r="B207" s="26"/>
      <c r="C207" s="25"/>
      <c r="D207" s="25"/>
    </row>
    <row r="208" spans="1:4" ht="17.25">
      <c r="A208" s="23"/>
      <c r="B208" s="24"/>
      <c r="C208" s="23"/>
      <c r="D208" s="23"/>
    </row>
    <row r="209" spans="1:4" ht="17.25">
      <c r="A209" s="25"/>
      <c r="B209" s="26"/>
      <c r="C209" s="25"/>
      <c r="D209" s="25"/>
    </row>
    <row r="210" spans="1:4" ht="17.25">
      <c r="A210" s="23"/>
      <c r="B210" s="24"/>
      <c r="C210" s="23"/>
      <c r="D210" s="23"/>
    </row>
    <row r="211" spans="1:4" ht="17.25">
      <c r="A211" s="25"/>
      <c r="B211" s="26"/>
      <c r="C211" s="25"/>
      <c r="D211" s="25"/>
    </row>
    <row r="212" spans="1:4" ht="17.25">
      <c r="A212" s="23"/>
      <c r="B212" s="24"/>
      <c r="C212" s="23"/>
      <c r="D212" s="23"/>
    </row>
    <row r="213" spans="1:4" ht="17.25">
      <c r="A213" s="25"/>
      <c r="B213" s="26"/>
      <c r="C213" s="25"/>
      <c r="D213" s="25"/>
    </row>
    <row r="214" spans="1:4" ht="17.25">
      <c r="A214" s="23"/>
      <c r="B214" s="24"/>
      <c r="C214" s="23"/>
      <c r="D214" s="23"/>
    </row>
    <row r="215" spans="1:4" ht="17.25">
      <c r="A215" s="25"/>
      <c r="B215" s="26"/>
      <c r="C215" s="25"/>
      <c r="D215" s="25"/>
    </row>
    <row r="216" spans="1:4" ht="17.25">
      <c r="A216" s="23"/>
      <c r="B216" s="24"/>
      <c r="C216" s="23"/>
      <c r="D216" s="23"/>
    </row>
    <row r="217" spans="1:4" ht="17.25">
      <c r="A217" s="25"/>
      <c r="B217" s="26"/>
      <c r="C217" s="25"/>
      <c r="D217" s="25"/>
    </row>
    <row r="218" spans="1:4" ht="17.25">
      <c r="A218" s="23"/>
      <c r="B218" s="24"/>
      <c r="C218" s="23"/>
      <c r="D218" s="23"/>
    </row>
    <row r="219" spans="1:4" ht="17.25">
      <c r="A219" s="25"/>
      <c r="B219" s="26"/>
      <c r="C219" s="25"/>
      <c r="D219" s="25"/>
    </row>
    <row r="220" spans="1:4" ht="17.25">
      <c r="A220" s="23"/>
      <c r="B220" s="24"/>
      <c r="C220" s="23"/>
      <c r="D220" s="23"/>
    </row>
    <row r="221" spans="1:4" ht="17.25">
      <c r="A221" s="25"/>
      <c r="B221" s="26"/>
      <c r="C221" s="25"/>
      <c r="D221" s="25"/>
    </row>
    <row r="222" spans="1:4" ht="17.25">
      <c r="A222" s="23"/>
      <c r="B222" s="24"/>
      <c r="C222" s="23"/>
      <c r="D222" s="23"/>
    </row>
    <row r="223" spans="1:4" ht="17.25">
      <c r="A223" s="25"/>
      <c r="B223" s="26"/>
      <c r="C223" s="25"/>
      <c r="D223" s="25"/>
    </row>
    <row r="224" spans="1:4" ht="17.25">
      <c r="A224" s="23"/>
      <c r="B224" s="24"/>
      <c r="C224" s="23"/>
      <c r="D224" s="23"/>
    </row>
    <row r="225" spans="1:4" ht="17.25">
      <c r="A225" s="25"/>
      <c r="B225" s="26"/>
      <c r="C225" s="25"/>
      <c r="D225" s="25"/>
    </row>
    <row r="226" spans="1:4" ht="17.25">
      <c r="A226" s="23"/>
      <c r="B226" s="24"/>
      <c r="C226" s="23"/>
      <c r="D226" s="23"/>
    </row>
    <row r="227" spans="1:4" ht="17.25">
      <c r="A227" s="25"/>
      <c r="B227" s="26"/>
      <c r="C227" s="25"/>
      <c r="D227" s="25"/>
    </row>
    <row r="228" spans="1:4" ht="17.25">
      <c r="A228" s="23"/>
      <c r="B228" s="24"/>
      <c r="C228" s="23"/>
      <c r="D228" s="23"/>
    </row>
    <row r="229" spans="1:4" ht="17.25">
      <c r="A229" s="25"/>
      <c r="B229" s="26"/>
      <c r="C229" s="25"/>
      <c r="D229" s="25"/>
    </row>
    <row r="230" spans="1:4" ht="17.25">
      <c r="A230" s="23"/>
      <c r="B230" s="24"/>
      <c r="C230" s="23"/>
      <c r="D230" s="23"/>
    </row>
    <row r="231" spans="1:4" ht="17.25">
      <c r="A231" s="25"/>
      <c r="B231" s="26"/>
      <c r="C231" s="25"/>
      <c r="D231" s="25"/>
    </row>
    <row r="232" spans="1:4" ht="17.25">
      <c r="A232" s="23"/>
      <c r="B232" s="24"/>
      <c r="C232" s="23"/>
      <c r="D232" s="23"/>
    </row>
    <row r="233" spans="1:4" ht="17.25">
      <c r="A233" s="25"/>
      <c r="B233" s="26"/>
      <c r="C233" s="25"/>
      <c r="D233" s="25"/>
    </row>
    <row r="234" spans="1:4" ht="17.25">
      <c r="A234" s="23"/>
      <c r="B234" s="24"/>
      <c r="C234" s="23"/>
      <c r="D234" s="23"/>
    </row>
    <row r="235" spans="1:4" ht="17.25">
      <c r="A235" s="25"/>
      <c r="B235" s="26"/>
      <c r="C235" s="25"/>
      <c r="D235" s="25"/>
    </row>
    <row r="236" spans="1:4" ht="17.25">
      <c r="A236" s="23"/>
      <c r="B236" s="24"/>
      <c r="C236" s="23"/>
      <c r="D236" s="23"/>
    </row>
    <row r="237" spans="1:4" ht="17.25">
      <c r="A237" s="25"/>
      <c r="B237" s="26"/>
      <c r="C237" s="25"/>
      <c r="D237" s="25"/>
    </row>
    <row r="238" spans="1:4" ht="17.25">
      <c r="A238" s="23"/>
      <c r="B238" s="24"/>
      <c r="C238" s="23"/>
      <c r="D238" s="23"/>
    </row>
    <row r="239" spans="1:4" ht="17.25">
      <c r="A239" s="25"/>
      <c r="B239" s="26"/>
      <c r="C239" s="25"/>
      <c r="D239" s="25"/>
    </row>
    <row r="240" spans="1:4" ht="17.25">
      <c r="A240" s="23"/>
      <c r="B240" s="24"/>
      <c r="C240" s="23"/>
      <c r="D240" s="23"/>
    </row>
    <row r="241" spans="1:4" ht="17.25">
      <c r="A241" s="25"/>
      <c r="B241" s="26"/>
      <c r="C241" s="25"/>
      <c r="D241" s="25"/>
    </row>
    <row r="242" spans="1:4" ht="17.25">
      <c r="A242" s="23"/>
      <c r="B242" s="24"/>
      <c r="C242" s="23"/>
      <c r="D242" s="23"/>
    </row>
    <row r="243" spans="1:4" ht="17.25">
      <c r="A243" s="25"/>
      <c r="B243" s="26"/>
      <c r="C243" s="25"/>
      <c r="D243" s="25"/>
    </row>
    <row r="244" spans="1:4" ht="17.25">
      <c r="A244" s="23"/>
      <c r="B244" s="24"/>
      <c r="C244" s="23"/>
      <c r="D244" s="23"/>
    </row>
    <row r="245" spans="1:4" ht="17.25">
      <c r="A245" s="25"/>
      <c r="B245" s="26"/>
      <c r="C245" s="25"/>
      <c r="D245" s="25"/>
    </row>
    <row r="246" spans="1:4" ht="17.25">
      <c r="A246" s="23"/>
      <c r="B246" s="24"/>
      <c r="C246" s="23"/>
      <c r="D246" s="23"/>
    </row>
    <row r="247" spans="1:4" ht="17.25">
      <c r="A247" s="25"/>
      <c r="B247" s="26"/>
      <c r="C247" s="25"/>
      <c r="D247" s="25"/>
    </row>
    <row r="248" spans="1:4" ht="17.25">
      <c r="A248" s="23"/>
      <c r="B248" s="24"/>
      <c r="C248" s="23"/>
      <c r="D248" s="23"/>
    </row>
    <row r="249" spans="1:4" ht="17.25">
      <c r="A249" s="25"/>
      <c r="B249" s="26"/>
      <c r="C249" s="25"/>
      <c r="D249" s="25"/>
    </row>
    <row r="250" spans="1:4" ht="17.25">
      <c r="A250" s="23"/>
      <c r="B250" s="24"/>
      <c r="C250" s="23"/>
      <c r="D250" s="23"/>
    </row>
    <row r="251" spans="1:4" ht="17.25">
      <c r="A251" s="25"/>
      <c r="B251" s="26"/>
      <c r="C251" s="25"/>
      <c r="D251" s="25"/>
    </row>
    <row r="252" spans="1:4" ht="17.25">
      <c r="A252" s="23"/>
      <c r="B252" s="24"/>
      <c r="C252" s="23"/>
      <c r="D252" s="23"/>
    </row>
    <row r="253" spans="1:4" ht="17.25">
      <c r="A253" s="25"/>
      <c r="B253" s="26"/>
      <c r="C253" s="25"/>
      <c r="D253" s="25"/>
    </row>
    <row r="254" spans="1:4" ht="17.25">
      <c r="A254" s="23"/>
      <c r="B254" s="24"/>
      <c r="C254" s="23"/>
      <c r="D254" s="23"/>
    </row>
    <row r="255" spans="1:4" ht="17.25">
      <c r="A255" s="25"/>
      <c r="B255" s="26"/>
      <c r="C255" s="25"/>
      <c r="D255" s="25"/>
    </row>
    <row r="256" spans="1:4" ht="17.25">
      <c r="A256" s="23"/>
      <c r="B256" s="24"/>
      <c r="C256" s="23"/>
      <c r="D256" s="23"/>
    </row>
    <row r="257" spans="1:4" ht="17.25">
      <c r="A257" s="25"/>
      <c r="B257" s="26"/>
      <c r="C257" s="25"/>
      <c r="D257" s="25"/>
    </row>
    <row r="258" spans="1:4" ht="17.25">
      <c r="A258" s="23"/>
      <c r="B258" s="24"/>
      <c r="C258" s="23"/>
      <c r="D258" s="23"/>
    </row>
    <row r="259" spans="1:4" ht="17.25">
      <c r="A259" s="25"/>
      <c r="B259" s="26"/>
      <c r="C259" s="25"/>
      <c r="D259" s="25"/>
    </row>
    <row r="260" spans="1:4" ht="17.25">
      <c r="A260" s="23"/>
      <c r="B260" s="24"/>
      <c r="C260" s="23"/>
      <c r="D260" s="23"/>
    </row>
    <row r="261" spans="1:4">
      <c r="A261" s="20"/>
    </row>
    <row r="262" spans="1:4">
      <c r="A262" s="20"/>
    </row>
    <row r="263" spans="1:4">
      <c r="A263" s="20"/>
    </row>
    <row r="264" spans="1:4">
      <c r="A264" s="20"/>
    </row>
    <row r="265" spans="1:4">
      <c r="A265" s="20"/>
    </row>
    <row r="266" spans="1:4">
      <c r="A266" s="20"/>
    </row>
    <row r="267" spans="1:4">
      <c r="A267" s="20"/>
    </row>
    <row r="268" spans="1:4">
      <c r="A268" s="20"/>
    </row>
    <row r="269" spans="1:4">
      <c r="A269" s="20"/>
    </row>
    <row r="270" spans="1:4">
      <c r="A270" s="20"/>
    </row>
    <row r="271" spans="1:4">
      <c r="A271" s="20"/>
    </row>
    <row r="272" spans="1:4">
      <c r="A272" s="20"/>
    </row>
    <row r="273" spans="1:1">
      <c r="A273" s="20"/>
    </row>
    <row r="274" spans="1:1">
      <c r="A274" s="20"/>
    </row>
    <row r="275" spans="1:1">
      <c r="A275" s="20"/>
    </row>
    <row r="276" spans="1:1">
      <c r="A276" s="20"/>
    </row>
    <row r="277" spans="1:1">
      <c r="A277" s="20"/>
    </row>
    <row r="278" spans="1:1">
      <c r="A278" s="20"/>
    </row>
    <row r="279" spans="1:1">
      <c r="A279" s="20"/>
    </row>
    <row r="280" spans="1:1">
      <c r="A280" s="20"/>
    </row>
    <row r="281" spans="1:1">
      <c r="A281" s="20"/>
    </row>
    <row r="282" spans="1:1">
      <c r="A282" s="20"/>
    </row>
    <row r="283" spans="1:1">
      <c r="A283" s="20"/>
    </row>
    <row r="284" spans="1:1">
      <c r="A284" s="20"/>
    </row>
    <row r="285" spans="1:1">
      <c r="A285" s="20"/>
    </row>
    <row r="286" spans="1:1">
      <c r="A286" s="20"/>
    </row>
    <row r="287" spans="1:1">
      <c r="A287" s="20"/>
    </row>
    <row r="288" spans="1:1">
      <c r="A288" s="20"/>
    </row>
    <row r="289" spans="1:1">
      <c r="A289" s="20"/>
    </row>
    <row r="290" spans="1:1">
      <c r="A290" s="20"/>
    </row>
    <row r="291" spans="1:1">
      <c r="A291" s="20"/>
    </row>
    <row r="292" spans="1:1">
      <c r="A292" s="20"/>
    </row>
    <row r="293" spans="1:1">
      <c r="A293" s="20"/>
    </row>
    <row r="294" spans="1:1">
      <c r="A294" s="20"/>
    </row>
    <row r="295" spans="1:1">
      <c r="A295" s="20"/>
    </row>
    <row r="296" spans="1:1">
      <c r="A296" s="20"/>
    </row>
    <row r="297" spans="1:1">
      <c r="A297" s="20"/>
    </row>
    <row r="298" spans="1:1">
      <c r="A298" s="20"/>
    </row>
    <row r="299" spans="1:1">
      <c r="A299" s="20"/>
    </row>
    <row r="300" spans="1:1">
      <c r="A300" s="20"/>
    </row>
    <row r="301" spans="1:1">
      <c r="A301" s="20"/>
    </row>
    <row r="302" spans="1:1">
      <c r="A302" s="20"/>
    </row>
    <row r="303" spans="1:1">
      <c r="A303" s="20"/>
    </row>
    <row r="304" spans="1:1">
      <c r="A304" s="20"/>
    </row>
    <row r="305" spans="1:1">
      <c r="A305" s="20"/>
    </row>
    <row r="306" spans="1:1">
      <c r="A306" s="20"/>
    </row>
    <row r="307" spans="1:1">
      <c r="A307" s="20"/>
    </row>
    <row r="308" spans="1:1">
      <c r="A308" s="20"/>
    </row>
    <row r="309" spans="1:1">
      <c r="A309" s="20"/>
    </row>
    <row r="310" spans="1:1">
      <c r="A310" s="20"/>
    </row>
    <row r="311" spans="1:1">
      <c r="A311" s="20"/>
    </row>
    <row r="312" spans="1:1">
      <c r="A312" s="20"/>
    </row>
    <row r="313" spans="1:1">
      <c r="A313" s="20"/>
    </row>
    <row r="314" spans="1:1">
      <c r="A314" s="20"/>
    </row>
    <row r="315" spans="1:1">
      <c r="A315" s="20"/>
    </row>
    <row r="316" spans="1:1">
      <c r="A316" s="20"/>
    </row>
    <row r="317" spans="1:1">
      <c r="A317" s="20"/>
    </row>
    <row r="318" spans="1:1">
      <c r="A318" s="20"/>
    </row>
    <row r="319" spans="1:1">
      <c r="A319" s="20"/>
    </row>
    <row r="320" spans="1:1">
      <c r="A320" s="20"/>
    </row>
    <row r="321" spans="1:1">
      <c r="A321" s="20"/>
    </row>
    <row r="322" spans="1:1">
      <c r="A322" s="20"/>
    </row>
    <row r="323" spans="1:1">
      <c r="A323" s="20"/>
    </row>
    <row r="324" spans="1:1">
      <c r="A324" s="20"/>
    </row>
    <row r="325" spans="1:1">
      <c r="A325" s="20"/>
    </row>
    <row r="326" spans="1:1">
      <c r="A326" s="20"/>
    </row>
    <row r="327" spans="1:1">
      <c r="A327" s="20"/>
    </row>
    <row r="328" spans="1:1">
      <c r="A328" s="20"/>
    </row>
    <row r="329" spans="1:1">
      <c r="A329" s="20"/>
    </row>
    <row r="330" spans="1:1">
      <c r="A330" s="20"/>
    </row>
    <row r="331" spans="1:1">
      <c r="A331" s="20"/>
    </row>
    <row r="332" spans="1:1">
      <c r="A332" s="20"/>
    </row>
    <row r="333" spans="1:1">
      <c r="A333" s="20"/>
    </row>
    <row r="334" spans="1:1">
      <c r="A334" s="20"/>
    </row>
    <row r="335" spans="1:1">
      <c r="A335" s="20"/>
    </row>
    <row r="336" spans="1:1">
      <c r="A336" s="20"/>
    </row>
    <row r="337" spans="1:1">
      <c r="A337" s="20"/>
    </row>
    <row r="338" spans="1:1">
      <c r="A338" s="20"/>
    </row>
    <row r="339" spans="1:1">
      <c r="A339" s="20"/>
    </row>
    <row r="340" spans="1:1">
      <c r="A340" s="20"/>
    </row>
    <row r="341" spans="1:1">
      <c r="A341" s="20"/>
    </row>
    <row r="342" spans="1:1">
      <c r="A342" s="20"/>
    </row>
    <row r="343" spans="1:1">
      <c r="A343" s="20"/>
    </row>
    <row r="344" spans="1:1">
      <c r="A344" s="20"/>
    </row>
    <row r="345" spans="1:1">
      <c r="A345" s="20"/>
    </row>
    <row r="346" spans="1:1">
      <c r="A346" s="20"/>
    </row>
    <row r="347" spans="1:1">
      <c r="A347" s="20"/>
    </row>
    <row r="348" spans="1:1">
      <c r="A348" s="20"/>
    </row>
    <row r="349" spans="1:1">
      <c r="A349" s="20"/>
    </row>
    <row r="350" spans="1:1">
      <c r="A350" s="20"/>
    </row>
    <row r="351" spans="1:1">
      <c r="A351" s="20"/>
    </row>
    <row r="352" spans="1:1">
      <c r="A352" s="20"/>
    </row>
    <row r="353" spans="1:1">
      <c r="A353" s="20"/>
    </row>
    <row r="354" spans="1:1">
      <c r="A354" s="20"/>
    </row>
    <row r="355" spans="1:1">
      <c r="A355" s="20"/>
    </row>
    <row r="356" spans="1:1">
      <c r="A356" s="20"/>
    </row>
    <row r="357" spans="1:1">
      <c r="A357" s="20"/>
    </row>
    <row r="358" spans="1:1">
      <c r="A358" s="20"/>
    </row>
    <row r="359" spans="1:1">
      <c r="A359" s="20"/>
    </row>
    <row r="360" spans="1:1">
      <c r="A360" s="20"/>
    </row>
    <row r="361" spans="1:1">
      <c r="A361" s="20"/>
    </row>
    <row r="362" spans="1:1">
      <c r="A362" s="20"/>
    </row>
    <row r="363" spans="1:1">
      <c r="A363" s="20"/>
    </row>
    <row r="364" spans="1:1">
      <c r="A364" s="20"/>
    </row>
    <row r="365" spans="1:1">
      <c r="A365" s="20"/>
    </row>
    <row r="366" spans="1:1">
      <c r="A366" s="20"/>
    </row>
    <row r="367" spans="1:1">
      <c r="A367" s="20"/>
    </row>
    <row r="368" spans="1:1">
      <c r="A368" s="20"/>
    </row>
    <row r="369" spans="1:1">
      <c r="A369" s="20"/>
    </row>
    <row r="370" spans="1:1">
      <c r="A370" s="20"/>
    </row>
    <row r="371" spans="1:1">
      <c r="A371" s="20"/>
    </row>
    <row r="372" spans="1:1">
      <c r="A372" s="20"/>
    </row>
    <row r="373" spans="1:1">
      <c r="A373" s="20"/>
    </row>
    <row r="374" spans="1:1">
      <c r="A374" s="20"/>
    </row>
    <row r="375" spans="1:1">
      <c r="A375" s="20"/>
    </row>
    <row r="376" spans="1:1">
      <c r="A376" s="20"/>
    </row>
    <row r="377" spans="1:1">
      <c r="A377" s="20"/>
    </row>
    <row r="378" spans="1:1">
      <c r="A378" s="20"/>
    </row>
    <row r="379" spans="1:1">
      <c r="A379" s="20"/>
    </row>
    <row r="380" spans="1:1">
      <c r="A380" s="20"/>
    </row>
    <row r="381" spans="1:1">
      <c r="A381" s="20"/>
    </row>
    <row r="382" spans="1:1">
      <c r="A382" s="20"/>
    </row>
    <row r="383" spans="1:1">
      <c r="A383" s="20"/>
    </row>
    <row r="384" spans="1:1">
      <c r="A384" s="20"/>
    </row>
    <row r="385" spans="1:1">
      <c r="A385" s="20"/>
    </row>
    <row r="386" spans="1:1">
      <c r="A386" s="20"/>
    </row>
    <row r="387" spans="1:1">
      <c r="A387" s="20"/>
    </row>
    <row r="388" spans="1:1">
      <c r="A388" s="20"/>
    </row>
    <row r="389" spans="1:1">
      <c r="A389" s="20"/>
    </row>
    <row r="390" spans="1:1">
      <c r="A390" s="20"/>
    </row>
    <row r="391" spans="1:1">
      <c r="A391" s="20"/>
    </row>
    <row r="392" spans="1:1">
      <c r="A392" s="20"/>
    </row>
    <row r="393" spans="1:1">
      <c r="A393" s="20"/>
    </row>
    <row r="394" spans="1:1">
      <c r="A394" s="20"/>
    </row>
    <row r="395" spans="1:1">
      <c r="A395" s="20"/>
    </row>
    <row r="396" spans="1:1">
      <c r="A396" s="20"/>
    </row>
    <row r="397" spans="1:1">
      <c r="A397" s="20"/>
    </row>
    <row r="398" spans="1:1">
      <c r="A398" s="20"/>
    </row>
    <row r="399" spans="1:1">
      <c r="A399" s="20"/>
    </row>
    <row r="400" spans="1:1">
      <c r="A400" s="20"/>
    </row>
    <row r="401" spans="1:1">
      <c r="A401" s="20"/>
    </row>
    <row r="402" spans="1:1">
      <c r="A402" s="20"/>
    </row>
    <row r="403" spans="1:1">
      <c r="A403" s="20"/>
    </row>
    <row r="404" spans="1:1">
      <c r="A404" s="20"/>
    </row>
    <row r="405" spans="1:1">
      <c r="A405" s="20"/>
    </row>
    <row r="406" spans="1:1">
      <c r="A406" s="20"/>
    </row>
    <row r="407" spans="1:1">
      <c r="A407" s="20"/>
    </row>
    <row r="408" spans="1:1">
      <c r="A408" s="20"/>
    </row>
    <row r="409" spans="1:1">
      <c r="A409" s="20"/>
    </row>
    <row r="410" spans="1:1">
      <c r="A410" s="20"/>
    </row>
    <row r="411" spans="1:1">
      <c r="A411" s="20"/>
    </row>
    <row r="412" spans="1:1">
      <c r="A412" s="20"/>
    </row>
    <row r="413" spans="1:1">
      <c r="A413" s="20"/>
    </row>
    <row r="414" spans="1:1">
      <c r="A414" s="20"/>
    </row>
    <row r="415" spans="1:1">
      <c r="A415" s="20"/>
    </row>
    <row r="416" spans="1:1">
      <c r="A416" s="20"/>
    </row>
    <row r="417" spans="1:1">
      <c r="A417" s="20"/>
    </row>
    <row r="418" spans="1:1">
      <c r="A418" s="20"/>
    </row>
    <row r="419" spans="1:1">
      <c r="A419" s="20"/>
    </row>
    <row r="420" spans="1:1">
      <c r="A420" s="20"/>
    </row>
    <row r="421" spans="1:1">
      <c r="A421" s="20"/>
    </row>
    <row r="422" spans="1:1">
      <c r="A422" s="20"/>
    </row>
    <row r="423" spans="1:1">
      <c r="A423" s="20"/>
    </row>
    <row r="424" spans="1:1">
      <c r="A424" s="20"/>
    </row>
    <row r="425" spans="1:1">
      <c r="A425" s="20"/>
    </row>
    <row r="426" spans="1:1">
      <c r="A426" s="20"/>
    </row>
    <row r="427" spans="1:1">
      <c r="A427" s="20"/>
    </row>
    <row r="428" spans="1:1">
      <c r="A428" s="20"/>
    </row>
    <row r="429" spans="1:1">
      <c r="A429" s="20"/>
    </row>
    <row r="430" spans="1:1">
      <c r="A430" s="20"/>
    </row>
    <row r="431" spans="1:1">
      <c r="A431" s="20"/>
    </row>
    <row r="432" spans="1:1">
      <c r="A432" s="20"/>
    </row>
    <row r="433" spans="1:1">
      <c r="A433" s="20"/>
    </row>
    <row r="434" spans="1:1">
      <c r="A434" s="20"/>
    </row>
    <row r="435" spans="1:1">
      <c r="A435" s="20"/>
    </row>
    <row r="436" spans="1:1">
      <c r="A436" s="20"/>
    </row>
    <row r="437" spans="1:1">
      <c r="A437" s="20"/>
    </row>
    <row r="438" spans="1:1">
      <c r="A438" s="20"/>
    </row>
    <row r="439" spans="1:1">
      <c r="A439" s="20"/>
    </row>
    <row r="440" spans="1:1">
      <c r="A440" s="20"/>
    </row>
    <row r="441" spans="1:1">
      <c r="A441" s="20"/>
    </row>
    <row r="442" spans="1:1">
      <c r="A442" s="20"/>
    </row>
    <row r="443" spans="1:1">
      <c r="A443" s="20"/>
    </row>
    <row r="444" spans="1:1">
      <c r="A444" s="20"/>
    </row>
    <row r="445" spans="1:1">
      <c r="A445" s="20"/>
    </row>
    <row r="446" spans="1:1">
      <c r="A446" s="20"/>
    </row>
    <row r="447" spans="1:1">
      <c r="A447" s="20"/>
    </row>
    <row r="448" spans="1:1">
      <c r="A448" s="20"/>
    </row>
    <row r="449" spans="1:1">
      <c r="A449" s="20"/>
    </row>
    <row r="450" spans="1:1">
      <c r="A450" s="20"/>
    </row>
    <row r="451" spans="1:1">
      <c r="A451" s="20"/>
    </row>
    <row r="452" spans="1:1">
      <c r="A452" s="20"/>
    </row>
    <row r="453" spans="1:1">
      <c r="A453" s="20"/>
    </row>
    <row r="454" spans="1:1">
      <c r="A454" s="20"/>
    </row>
    <row r="455" spans="1:1">
      <c r="A455" s="20"/>
    </row>
    <row r="456" spans="1:1">
      <c r="A456" s="20"/>
    </row>
    <row r="457" spans="1:1">
      <c r="A457" s="20"/>
    </row>
    <row r="458" spans="1:1">
      <c r="A458" s="20"/>
    </row>
    <row r="459" spans="1:1">
      <c r="A459" s="20"/>
    </row>
    <row r="460" spans="1:1">
      <c r="A460" s="20"/>
    </row>
    <row r="461" spans="1:1">
      <c r="A461" s="20"/>
    </row>
    <row r="462" spans="1:1">
      <c r="A462" s="20"/>
    </row>
    <row r="463" spans="1:1">
      <c r="A463" s="20"/>
    </row>
    <row r="464" spans="1:1">
      <c r="A464" s="20"/>
    </row>
    <row r="465" spans="1:1">
      <c r="A465" s="20"/>
    </row>
    <row r="466" spans="1:1">
      <c r="A466" s="20"/>
    </row>
    <row r="467" spans="1:1">
      <c r="A467" s="20"/>
    </row>
    <row r="468" spans="1:1">
      <c r="A468" s="20"/>
    </row>
    <row r="469" spans="1:1">
      <c r="A469" s="20"/>
    </row>
    <row r="470" spans="1:1">
      <c r="A470" s="20"/>
    </row>
    <row r="471" spans="1:1">
      <c r="A471" s="20"/>
    </row>
    <row r="472" spans="1:1">
      <c r="A472" s="20"/>
    </row>
    <row r="473" spans="1:1">
      <c r="A473" s="20"/>
    </row>
    <row r="474" spans="1:1">
      <c r="A474" s="20"/>
    </row>
    <row r="475" spans="1:1">
      <c r="A475" s="20"/>
    </row>
    <row r="476" spans="1:1">
      <c r="A476" s="20"/>
    </row>
    <row r="477" spans="1:1">
      <c r="A477" s="20"/>
    </row>
    <row r="478" spans="1:1">
      <c r="A478" s="20"/>
    </row>
    <row r="479" spans="1:1">
      <c r="A479" s="20"/>
    </row>
    <row r="480" spans="1:1">
      <c r="A480" s="20"/>
    </row>
    <row r="481" spans="1:1">
      <c r="A481" s="20"/>
    </row>
    <row r="482" spans="1:1">
      <c r="A482" s="20"/>
    </row>
    <row r="483" spans="1:1">
      <c r="A483" s="20"/>
    </row>
    <row r="484" spans="1:1">
      <c r="A484" s="20"/>
    </row>
    <row r="485" spans="1:1">
      <c r="A485" s="20"/>
    </row>
    <row r="486" spans="1:1">
      <c r="A486" s="20"/>
    </row>
    <row r="487" spans="1:1">
      <c r="A487" s="20"/>
    </row>
    <row r="488" spans="1:1">
      <c r="A488" s="20"/>
    </row>
    <row r="489" spans="1:1">
      <c r="A489" s="20"/>
    </row>
    <row r="490" spans="1:1">
      <c r="A490" s="20"/>
    </row>
    <row r="491" spans="1:1">
      <c r="A491" s="20"/>
    </row>
    <row r="492" spans="1:1">
      <c r="A492" s="20"/>
    </row>
    <row r="493" spans="1:1">
      <c r="A493" s="20"/>
    </row>
    <row r="494" spans="1:1">
      <c r="A494" s="20"/>
    </row>
    <row r="495" spans="1:1">
      <c r="A495" s="20"/>
    </row>
    <row r="496" spans="1:1">
      <c r="A496" s="20"/>
    </row>
    <row r="497" spans="1:1">
      <c r="A497" s="20"/>
    </row>
    <row r="498" spans="1:1">
      <c r="A498" s="20"/>
    </row>
    <row r="499" spans="1:1">
      <c r="A499" s="20"/>
    </row>
    <row r="500" spans="1:1">
      <c r="A500" s="20"/>
    </row>
    <row r="501" spans="1:1">
      <c r="A501" s="20"/>
    </row>
    <row r="502" spans="1:1">
      <c r="A502" s="20"/>
    </row>
    <row r="503" spans="1:1">
      <c r="A503" s="20"/>
    </row>
    <row r="504" spans="1:1">
      <c r="A504" s="20"/>
    </row>
    <row r="505" spans="1:1">
      <c r="A505" s="20"/>
    </row>
    <row r="506" spans="1:1">
      <c r="A506" s="20"/>
    </row>
    <row r="507" spans="1:1">
      <c r="A507" s="20"/>
    </row>
    <row r="508" spans="1:1">
      <c r="A508" s="20"/>
    </row>
    <row r="509" spans="1:1">
      <c r="A509" s="20"/>
    </row>
    <row r="510" spans="1:1">
      <c r="A510" s="20"/>
    </row>
    <row r="511" spans="1:1">
      <c r="A511" s="20"/>
    </row>
    <row r="512" spans="1:1">
      <c r="A512" s="20"/>
    </row>
    <row r="513" spans="1:1">
      <c r="A513" s="20"/>
    </row>
    <row r="514" spans="1:1">
      <c r="A514" s="20"/>
    </row>
    <row r="515" spans="1:1">
      <c r="A515" s="20"/>
    </row>
    <row r="516" spans="1:1">
      <c r="A516" s="20"/>
    </row>
    <row r="517" spans="1:1">
      <c r="A517" s="20"/>
    </row>
    <row r="518" spans="1:1">
      <c r="A518" s="20"/>
    </row>
    <row r="519" spans="1:1">
      <c r="A519" s="20"/>
    </row>
    <row r="520" spans="1:1">
      <c r="A520" s="20"/>
    </row>
    <row r="521" spans="1:1">
      <c r="A521" s="20"/>
    </row>
    <row r="522" spans="1:1">
      <c r="A522" s="20"/>
    </row>
    <row r="523" spans="1:1">
      <c r="A523" s="20"/>
    </row>
    <row r="524" spans="1:1">
      <c r="A524" s="20"/>
    </row>
    <row r="525" spans="1:1">
      <c r="A525" s="20"/>
    </row>
    <row r="526" spans="1:1">
      <c r="A526" s="20"/>
    </row>
    <row r="527" spans="1:1">
      <c r="A527" s="20"/>
    </row>
    <row r="528" spans="1:1">
      <c r="A528" s="20"/>
    </row>
    <row r="529" spans="1:1">
      <c r="A529" s="20"/>
    </row>
    <row r="530" spans="1:1">
      <c r="A530" s="20"/>
    </row>
    <row r="531" spans="1:1">
      <c r="A531" s="20"/>
    </row>
    <row r="532" spans="1:1">
      <c r="A532" s="20"/>
    </row>
    <row r="533" spans="1:1">
      <c r="A533" s="20"/>
    </row>
    <row r="534" spans="1:1">
      <c r="A534" s="20"/>
    </row>
    <row r="535" spans="1:1">
      <c r="A535" s="20"/>
    </row>
    <row r="536" spans="1:1">
      <c r="A536" s="20"/>
    </row>
    <row r="537" spans="1:1">
      <c r="A537" s="20"/>
    </row>
    <row r="538" spans="1:1">
      <c r="A538" s="20"/>
    </row>
    <row r="539" spans="1:1">
      <c r="A539" s="20"/>
    </row>
    <row r="540" spans="1:1">
      <c r="A540" s="20"/>
    </row>
    <row r="541" spans="1:1">
      <c r="A541" s="20"/>
    </row>
    <row r="542" spans="1:1">
      <c r="A542" s="20"/>
    </row>
    <row r="543" spans="1:1">
      <c r="A543" s="20"/>
    </row>
    <row r="544" spans="1:1">
      <c r="A544" s="20"/>
    </row>
    <row r="545" spans="1:1">
      <c r="A545" s="20"/>
    </row>
    <row r="546" spans="1:1">
      <c r="A546" s="20"/>
    </row>
    <row r="547" spans="1:1">
      <c r="A547" s="20"/>
    </row>
    <row r="548" spans="1:1">
      <c r="A548" s="20"/>
    </row>
    <row r="549" spans="1:1">
      <c r="A549" s="20"/>
    </row>
    <row r="550" spans="1:1">
      <c r="A550" s="20"/>
    </row>
    <row r="551" spans="1:1">
      <c r="A551" s="20"/>
    </row>
    <row r="552" spans="1:1">
      <c r="A552" s="20"/>
    </row>
    <row r="553" spans="1:1">
      <c r="A553" s="20"/>
    </row>
    <row r="554" spans="1:1">
      <c r="A554" s="20"/>
    </row>
    <row r="555" spans="1:1">
      <c r="A555" s="20"/>
    </row>
    <row r="556" spans="1:1">
      <c r="A556" s="20"/>
    </row>
    <row r="557" spans="1:1">
      <c r="A557" s="20"/>
    </row>
    <row r="558" spans="1:1">
      <c r="A558" s="20"/>
    </row>
    <row r="559" spans="1:1">
      <c r="A559" s="20"/>
    </row>
    <row r="560" spans="1:1">
      <c r="A560" s="20"/>
    </row>
    <row r="561" spans="1:1">
      <c r="A561" s="20"/>
    </row>
    <row r="562" spans="1:1">
      <c r="A562" s="20"/>
    </row>
    <row r="563" spans="1:1">
      <c r="A563" s="20"/>
    </row>
    <row r="564" spans="1:1">
      <c r="A564" s="20"/>
    </row>
    <row r="565" spans="1:1">
      <c r="A565" s="20"/>
    </row>
    <row r="566" spans="1:1">
      <c r="A566" s="20"/>
    </row>
    <row r="567" spans="1:1">
      <c r="A567" s="20"/>
    </row>
    <row r="568" spans="1:1">
      <c r="A568" s="20"/>
    </row>
    <row r="569" spans="1:1">
      <c r="A569" s="20"/>
    </row>
    <row r="570" spans="1:1">
      <c r="A570" s="20"/>
    </row>
    <row r="571" spans="1:1">
      <c r="A571" s="20"/>
    </row>
    <row r="572" spans="1:1">
      <c r="A572" s="20"/>
    </row>
    <row r="573" spans="1:1">
      <c r="A573" s="20"/>
    </row>
    <row r="574" spans="1:1">
      <c r="A574" s="20"/>
    </row>
    <row r="575" spans="1:1">
      <c r="A575" s="20"/>
    </row>
    <row r="576" spans="1:1">
      <c r="A576" s="20"/>
    </row>
    <row r="577" spans="1:1">
      <c r="A577" s="20"/>
    </row>
    <row r="578" spans="1:1">
      <c r="A578" s="20"/>
    </row>
    <row r="579" spans="1:1">
      <c r="A579" s="20"/>
    </row>
    <row r="580" spans="1:1">
      <c r="A580" s="20"/>
    </row>
    <row r="581" spans="1:1">
      <c r="A581" s="20"/>
    </row>
    <row r="582" spans="1:1">
      <c r="A582" s="20"/>
    </row>
    <row r="583" spans="1:1">
      <c r="A583" s="20"/>
    </row>
    <row r="584" spans="1:1">
      <c r="A584" s="20"/>
    </row>
    <row r="585" spans="1:1">
      <c r="A585" s="20"/>
    </row>
    <row r="586" spans="1:1">
      <c r="A586" s="20"/>
    </row>
    <row r="587" spans="1:1">
      <c r="A587" s="20"/>
    </row>
    <row r="588" spans="1:1">
      <c r="A588" s="20"/>
    </row>
    <row r="589" spans="1:1">
      <c r="A589" s="20"/>
    </row>
    <row r="590" spans="1:1">
      <c r="A590" s="20"/>
    </row>
    <row r="591" spans="1:1">
      <c r="A591" s="20"/>
    </row>
    <row r="592" spans="1:1">
      <c r="A592" s="20"/>
    </row>
    <row r="593" spans="1:1">
      <c r="A593" s="20"/>
    </row>
    <row r="594" spans="1:1">
      <c r="A594" s="20"/>
    </row>
    <row r="595" spans="1:1">
      <c r="A595" s="20"/>
    </row>
    <row r="596" spans="1:1">
      <c r="A596" s="20"/>
    </row>
    <row r="597" spans="1:1">
      <c r="A597" s="20"/>
    </row>
    <row r="598" spans="1:1">
      <c r="A598" s="20"/>
    </row>
    <row r="599" spans="1:1">
      <c r="A599" s="20"/>
    </row>
    <row r="600" spans="1:1">
      <c r="A600" s="20"/>
    </row>
    <row r="601" spans="1:1">
      <c r="A601" s="20"/>
    </row>
    <row r="602" spans="1:1">
      <c r="A602" s="20"/>
    </row>
    <row r="603" spans="1:1">
      <c r="A603" s="20"/>
    </row>
    <row r="604" spans="1:1">
      <c r="A604" s="20"/>
    </row>
    <row r="605" spans="1:1">
      <c r="A605" s="20"/>
    </row>
    <row r="606" spans="1:1">
      <c r="A606" s="20"/>
    </row>
    <row r="607" spans="1:1">
      <c r="A607" s="20"/>
    </row>
    <row r="608" spans="1:1">
      <c r="A608" s="20"/>
    </row>
    <row r="609" spans="1:1">
      <c r="A609" s="20"/>
    </row>
    <row r="610" spans="1:1">
      <c r="A610" s="20"/>
    </row>
    <row r="611" spans="1:1">
      <c r="A611" s="20"/>
    </row>
    <row r="612" spans="1:1">
      <c r="A612" s="20"/>
    </row>
    <row r="613" spans="1:1">
      <c r="A613" s="20"/>
    </row>
    <row r="614" spans="1:1">
      <c r="A614" s="20"/>
    </row>
    <row r="615" spans="1:1">
      <c r="A615" s="20"/>
    </row>
    <row r="616" spans="1:1">
      <c r="A616" s="20"/>
    </row>
    <row r="617" spans="1:1">
      <c r="A617" s="20"/>
    </row>
    <row r="618" spans="1:1">
      <c r="A618" s="20"/>
    </row>
    <row r="619" spans="1:1">
      <c r="A619" s="20"/>
    </row>
    <row r="620" spans="1:1">
      <c r="A620" s="20"/>
    </row>
    <row r="621" spans="1:1">
      <c r="A621" s="20"/>
    </row>
    <row r="622" spans="1:1">
      <c r="A622" s="20"/>
    </row>
    <row r="623" spans="1:1">
      <c r="A623" s="20"/>
    </row>
    <row r="624" spans="1:1">
      <c r="A624" s="20"/>
    </row>
    <row r="625" spans="1:1">
      <c r="A625" s="20"/>
    </row>
    <row r="626" spans="1:1">
      <c r="A626" s="20"/>
    </row>
    <row r="627" spans="1:1">
      <c r="A627" s="20"/>
    </row>
    <row r="628" spans="1:1">
      <c r="A628" s="20"/>
    </row>
    <row r="629" spans="1:1">
      <c r="A629" s="20"/>
    </row>
    <row r="630" spans="1:1">
      <c r="A630" s="20"/>
    </row>
    <row r="631" spans="1:1">
      <c r="A631" s="20"/>
    </row>
    <row r="632" spans="1:1">
      <c r="A632" s="20"/>
    </row>
    <row r="633" spans="1:1">
      <c r="A633" s="20"/>
    </row>
    <row r="634" spans="1:1">
      <c r="A634" s="20"/>
    </row>
    <row r="635" spans="1:1">
      <c r="A635" s="20"/>
    </row>
    <row r="636" spans="1:1">
      <c r="A636" s="20"/>
    </row>
    <row r="637" spans="1:1">
      <c r="A637" s="20"/>
    </row>
    <row r="638" spans="1:1">
      <c r="A638" s="20"/>
    </row>
    <row r="639" spans="1:1">
      <c r="A639" s="20"/>
    </row>
    <row r="640" spans="1:1">
      <c r="A640" s="20"/>
    </row>
    <row r="641" spans="1:1">
      <c r="A641" s="20"/>
    </row>
    <row r="642" spans="1:1">
      <c r="A642" s="20"/>
    </row>
    <row r="643" spans="1:1">
      <c r="A643" s="20"/>
    </row>
    <row r="644" spans="1:1">
      <c r="A644" s="20"/>
    </row>
    <row r="645" spans="1:1">
      <c r="A645" s="20"/>
    </row>
    <row r="646" spans="1:1">
      <c r="A646" s="20"/>
    </row>
    <row r="647" spans="1:1">
      <c r="A647" s="20"/>
    </row>
    <row r="648" spans="1:1">
      <c r="A648" s="20"/>
    </row>
    <row r="649" spans="1:1">
      <c r="A649" s="20"/>
    </row>
    <row r="650" spans="1:1">
      <c r="A650" s="20"/>
    </row>
    <row r="651" spans="1:1">
      <c r="A651" s="20"/>
    </row>
    <row r="652" spans="1:1">
      <c r="A652" s="20"/>
    </row>
    <row r="653" spans="1:1">
      <c r="A653" s="20"/>
    </row>
    <row r="654" spans="1:1">
      <c r="A654" s="20"/>
    </row>
    <row r="655" spans="1:1">
      <c r="A655" s="20"/>
    </row>
    <row r="656" spans="1:1">
      <c r="A656" s="20"/>
    </row>
    <row r="657" spans="1:1">
      <c r="A657" s="20"/>
    </row>
    <row r="658" spans="1:1">
      <c r="A658" s="20"/>
    </row>
    <row r="659" spans="1:1">
      <c r="A659" s="20"/>
    </row>
    <row r="660" spans="1:1">
      <c r="A660" s="20"/>
    </row>
    <row r="661" spans="1:1">
      <c r="A661" s="20"/>
    </row>
    <row r="662" spans="1:1">
      <c r="A662" s="20"/>
    </row>
    <row r="663" spans="1:1">
      <c r="A663" s="20"/>
    </row>
    <row r="664" spans="1:1">
      <c r="A664" s="20"/>
    </row>
    <row r="665" spans="1:1">
      <c r="A665" s="20"/>
    </row>
    <row r="666" spans="1:1">
      <c r="A666" s="20"/>
    </row>
    <row r="667" spans="1:1">
      <c r="A667" s="20"/>
    </row>
    <row r="668" spans="1:1">
      <c r="A668" s="20"/>
    </row>
    <row r="669" spans="1:1">
      <c r="A669" s="20"/>
    </row>
    <row r="670" spans="1:1">
      <c r="A670" s="20"/>
    </row>
    <row r="671" spans="1:1">
      <c r="A671" s="20"/>
    </row>
    <row r="672" spans="1:1">
      <c r="A672" s="20"/>
    </row>
    <row r="673" spans="1:1">
      <c r="A673" s="20"/>
    </row>
    <row r="674" spans="1:1">
      <c r="A674" s="20"/>
    </row>
    <row r="675" spans="1:1">
      <c r="A675" s="20"/>
    </row>
    <row r="676" spans="1:1">
      <c r="A676" s="20"/>
    </row>
    <row r="677" spans="1:1">
      <c r="A677" s="20"/>
    </row>
    <row r="678" spans="1:1">
      <c r="A678" s="20"/>
    </row>
    <row r="679" spans="1:1">
      <c r="A679" s="20"/>
    </row>
    <row r="680" spans="1:1">
      <c r="A680" s="20"/>
    </row>
    <row r="681" spans="1:1">
      <c r="A681" s="20"/>
    </row>
    <row r="682" spans="1:1">
      <c r="A682" s="20"/>
    </row>
    <row r="683" spans="1:1">
      <c r="A683" s="20"/>
    </row>
    <row r="684" spans="1:1">
      <c r="A684" s="20"/>
    </row>
    <row r="685" spans="1:1">
      <c r="A685" s="20"/>
    </row>
    <row r="686" spans="1:1">
      <c r="A686" s="20"/>
    </row>
    <row r="687" spans="1:1">
      <c r="A687" s="20"/>
    </row>
    <row r="688" spans="1:1">
      <c r="A688" s="20"/>
    </row>
    <row r="689" spans="1:1">
      <c r="A689" s="20"/>
    </row>
    <row r="690" spans="1:1">
      <c r="A690" s="20"/>
    </row>
    <row r="691" spans="1:1">
      <c r="A691" s="20"/>
    </row>
    <row r="692" spans="1:1">
      <c r="A692" s="20"/>
    </row>
    <row r="693" spans="1:1">
      <c r="A693" s="20"/>
    </row>
    <row r="694" spans="1:1">
      <c r="A694" s="20"/>
    </row>
    <row r="695" spans="1:1">
      <c r="A695" s="20"/>
    </row>
    <row r="696" spans="1:1">
      <c r="A696" s="20"/>
    </row>
    <row r="697" spans="1:1">
      <c r="A697" s="20"/>
    </row>
    <row r="698" spans="1:1">
      <c r="A698" s="20"/>
    </row>
    <row r="699" spans="1:1">
      <c r="A699" s="20"/>
    </row>
    <row r="700" spans="1:1">
      <c r="A700" s="20"/>
    </row>
    <row r="701" spans="1:1">
      <c r="A701" s="20"/>
    </row>
    <row r="702" spans="1:1">
      <c r="A702" s="20"/>
    </row>
    <row r="703" spans="1:1">
      <c r="A703" s="20"/>
    </row>
    <row r="704" spans="1:1">
      <c r="A704" s="20"/>
    </row>
    <row r="705" spans="1:1">
      <c r="A705" s="20"/>
    </row>
    <row r="706" spans="1:1">
      <c r="A706" s="20"/>
    </row>
    <row r="707" spans="1:1">
      <c r="A707" s="20"/>
    </row>
    <row r="708" spans="1:1">
      <c r="A708" s="20"/>
    </row>
    <row r="709" spans="1:1">
      <c r="A709" s="20"/>
    </row>
    <row r="710" spans="1:1">
      <c r="A710" s="20"/>
    </row>
    <row r="711" spans="1:1">
      <c r="A711" s="20"/>
    </row>
    <row r="712" spans="1:1">
      <c r="A712" s="20"/>
    </row>
    <row r="713" spans="1:1">
      <c r="A713" s="20"/>
    </row>
    <row r="714" spans="1:1">
      <c r="A714" s="20"/>
    </row>
    <row r="715" spans="1:1">
      <c r="A715" s="20"/>
    </row>
    <row r="716" spans="1:1">
      <c r="A716" s="20"/>
    </row>
    <row r="717" spans="1:1">
      <c r="A717" s="20"/>
    </row>
    <row r="718" spans="1:1">
      <c r="A718" s="20"/>
    </row>
    <row r="719" spans="1:1">
      <c r="A719" s="20"/>
    </row>
    <row r="720" spans="1:1">
      <c r="A720" s="20"/>
    </row>
    <row r="721" spans="1:1">
      <c r="A721" s="20"/>
    </row>
    <row r="722" spans="1:1">
      <c r="A722" s="20"/>
    </row>
    <row r="723" spans="1:1">
      <c r="A723" s="20"/>
    </row>
    <row r="724" spans="1:1">
      <c r="A724" s="20"/>
    </row>
    <row r="725" spans="1:1">
      <c r="A725" s="20"/>
    </row>
    <row r="726" spans="1:1">
      <c r="A726" s="20"/>
    </row>
    <row r="727" spans="1:1">
      <c r="A727" s="20"/>
    </row>
    <row r="728" spans="1:1">
      <c r="A728" s="20"/>
    </row>
    <row r="729" spans="1:1">
      <c r="A729" s="20"/>
    </row>
    <row r="730" spans="1:1">
      <c r="A730" s="20"/>
    </row>
    <row r="731" spans="1:1">
      <c r="A731" s="20"/>
    </row>
    <row r="732" spans="1:1">
      <c r="A732" s="20"/>
    </row>
    <row r="733" spans="1:1">
      <c r="A733" s="20"/>
    </row>
    <row r="734" spans="1:1">
      <c r="A734" s="20"/>
    </row>
    <row r="735" spans="1:1">
      <c r="A735" s="20"/>
    </row>
    <row r="736" spans="1:1">
      <c r="A736" s="20"/>
    </row>
    <row r="737" spans="1:1">
      <c r="A737" s="20"/>
    </row>
    <row r="738" spans="1:1">
      <c r="A738" s="20"/>
    </row>
    <row r="739" spans="1:1">
      <c r="A739" s="20"/>
    </row>
    <row r="740" spans="1:1">
      <c r="A740" s="20"/>
    </row>
    <row r="741" spans="1:1">
      <c r="A741" s="20"/>
    </row>
    <row r="742" spans="1:1">
      <c r="A742" s="20"/>
    </row>
    <row r="743" spans="1:1">
      <c r="A743" s="20"/>
    </row>
    <row r="744" spans="1:1">
      <c r="A744" s="20"/>
    </row>
    <row r="745" spans="1:1">
      <c r="A745" s="20"/>
    </row>
    <row r="746" spans="1:1">
      <c r="A746" s="20"/>
    </row>
    <row r="747" spans="1:1">
      <c r="A747" s="20"/>
    </row>
    <row r="748" spans="1:1">
      <c r="A748" s="20"/>
    </row>
    <row r="749" spans="1:1">
      <c r="A749" s="20"/>
    </row>
    <row r="750" spans="1:1">
      <c r="A750" s="20"/>
    </row>
    <row r="751" spans="1:1">
      <c r="A751" s="20"/>
    </row>
    <row r="752" spans="1:1">
      <c r="A752" s="20"/>
    </row>
    <row r="753" spans="1:1">
      <c r="A753" s="20"/>
    </row>
    <row r="754" spans="1:1">
      <c r="A754" s="20"/>
    </row>
    <row r="755" spans="1:1">
      <c r="A755" s="20"/>
    </row>
    <row r="756" spans="1:1">
      <c r="A756" s="20"/>
    </row>
    <row r="757" spans="1:1">
      <c r="A757" s="20"/>
    </row>
    <row r="758" spans="1:1">
      <c r="A758" s="20"/>
    </row>
    <row r="759" spans="1:1">
      <c r="A759" s="20"/>
    </row>
    <row r="760" spans="1:1">
      <c r="A760" s="20"/>
    </row>
    <row r="761" spans="1:1">
      <c r="A761" s="20"/>
    </row>
    <row r="762" spans="1:1">
      <c r="A762" s="20"/>
    </row>
    <row r="763" spans="1:1">
      <c r="A763" s="20"/>
    </row>
    <row r="764" spans="1:1">
      <c r="A764" s="20"/>
    </row>
    <row r="765" spans="1:1">
      <c r="A765" s="20"/>
    </row>
    <row r="766" spans="1:1">
      <c r="A766" s="20"/>
    </row>
    <row r="767" spans="1:1">
      <c r="A767" s="20"/>
    </row>
    <row r="768" spans="1:1">
      <c r="A768" s="20"/>
    </row>
    <row r="769" spans="1:1">
      <c r="A769" s="20"/>
    </row>
    <row r="770" spans="1:1">
      <c r="A770" s="20"/>
    </row>
    <row r="771" spans="1:1">
      <c r="A771" s="20"/>
    </row>
    <row r="772" spans="1:1">
      <c r="A772" s="20"/>
    </row>
    <row r="773" spans="1:1">
      <c r="A773" s="20"/>
    </row>
    <row r="774" spans="1:1">
      <c r="A774" s="20"/>
    </row>
    <row r="775" spans="1:1">
      <c r="A775" s="20"/>
    </row>
    <row r="776" spans="1:1">
      <c r="A776" s="20"/>
    </row>
    <row r="777" spans="1:1">
      <c r="A777" s="20"/>
    </row>
    <row r="778" spans="1:1">
      <c r="A778" s="20"/>
    </row>
    <row r="779" spans="1:1">
      <c r="A779" s="20"/>
    </row>
    <row r="780" spans="1:1">
      <c r="A780" s="20"/>
    </row>
    <row r="781" spans="1:1">
      <c r="A781" s="20"/>
    </row>
    <row r="782" spans="1:1">
      <c r="A782" s="20"/>
    </row>
    <row r="783" spans="1:1">
      <c r="A783" s="20"/>
    </row>
    <row r="784" spans="1:1">
      <c r="A784" s="20"/>
    </row>
    <row r="785" spans="1:1">
      <c r="A785" s="20"/>
    </row>
    <row r="786" spans="1:1">
      <c r="A786" s="20"/>
    </row>
    <row r="787" spans="1:1">
      <c r="A787" s="20"/>
    </row>
    <row r="788" spans="1:1">
      <c r="A788" s="20"/>
    </row>
    <row r="789" spans="1:1">
      <c r="A789" s="20"/>
    </row>
    <row r="790" spans="1:1">
      <c r="A790" s="20"/>
    </row>
    <row r="791" spans="1:1">
      <c r="A791" s="20"/>
    </row>
    <row r="792" spans="1:1">
      <c r="A792" s="20"/>
    </row>
    <row r="793" spans="1:1">
      <c r="A793" s="20"/>
    </row>
    <row r="794" spans="1:1">
      <c r="A794" s="20"/>
    </row>
    <row r="795" spans="1:1">
      <c r="A795" s="20"/>
    </row>
    <row r="796" spans="1:1">
      <c r="A796" s="20"/>
    </row>
    <row r="797" spans="1:1">
      <c r="A797" s="20"/>
    </row>
    <row r="798" spans="1:1">
      <c r="A798" s="20"/>
    </row>
    <row r="799" spans="1:1">
      <c r="A799" s="20"/>
    </row>
    <row r="800" spans="1:1">
      <c r="A800" s="20"/>
    </row>
    <row r="801" spans="1:1">
      <c r="A801" s="20"/>
    </row>
    <row r="802" spans="1:1">
      <c r="A802" s="20"/>
    </row>
    <row r="803" spans="1:1">
      <c r="A803" s="20"/>
    </row>
    <row r="804" spans="1:1">
      <c r="A804" s="20"/>
    </row>
    <row r="805" spans="1:1">
      <c r="A805" s="20"/>
    </row>
    <row r="806" spans="1:1">
      <c r="A806" s="20"/>
    </row>
    <row r="807" spans="1:1">
      <c r="A807" s="20"/>
    </row>
    <row r="808" spans="1:1">
      <c r="A808" s="20"/>
    </row>
    <row r="809" spans="1:1">
      <c r="A809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4BC1E-9FB2-4E9A-9740-54A08065C3B1}">
  <dimension ref="A1:E190"/>
  <sheetViews>
    <sheetView topLeftCell="A145" workbookViewId="0">
      <selection activeCell="A2" sqref="A2"/>
    </sheetView>
  </sheetViews>
  <sheetFormatPr defaultRowHeight="15"/>
  <sheetData>
    <row r="1" spans="1:5">
      <c r="A1" t="s">
        <v>0</v>
      </c>
      <c r="B1" t="s">
        <v>105</v>
      </c>
    </row>
    <row r="2" spans="1:5" ht="29.25">
      <c r="A2" s="27" t="s">
        <v>106</v>
      </c>
      <c r="B2" s="28">
        <v>0.39</v>
      </c>
      <c r="C2" s="28"/>
      <c r="D2" s="28"/>
      <c r="E2" s="29"/>
    </row>
    <row r="3" spans="1:5" ht="15.75">
      <c r="A3" s="30" t="s">
        <v>55</v>
      </c>
      <c r="B3" s="31">
        <v>0.78</v>
      </c>
      <c r="C3" s="31"/>
      <c r="D3" s="31"/>
      <c r="E3" s="32"/>
    </row>
    <row r="4" spans="1:5" ht="15.75">
      <c r="A4" s="30" t="s">
        <v>56</v>
      </c>
      <c r="B4" s="31">
        <v>0.68</v>
      </c>
      <c r="C4" s="31"/>
      <c r="D4" s="31"/>
      <c r="E4" s="32"/>
    </row>
    <row r="5" spans="1:5" ht="15.75">
      <c r="A5" s="30" t="s">
        <v>107</v>
      </c>
      <c r="B5" s="31">
        <v>0.72</v>
      </c>
      <c r="C5" s="31"/>
      <c r="D5" s="31"/>
      <c r="E5" s="32"/>
    </row>
    <row r="6" spans="1:5" ht="15.75">
      <c r="A6" s="30" t="s">
        <v>108</v>
      </c>
      <c r="B6" s="31">
        <v>0.52</v>
      </c>
      <c r="C6" s="31"/>
      <c r="D6" s="31"/>
      <c r="E6" s="32"/>
    </row>
    <row r="7" spans="1:5" ht="43.5">
      <c r="A7" s="30" t="s">
        <v>109</v>
      </c>
      <c r="B7" s="31">
        <v>0.7</v>
      </c>
      <c r="C7" s="31"/>
      <c r="D7" s="31"/>
      <c r="E7" s="32"/>
    </row>
    <row r="8" spans="1:5" ht="15.75">
      <c r="A8" s="30" t="s">
        <v>3</v>
      </c>
      <c r="B8" s="31">
        <v>0.87</v>
      </c>
      <c r="C8" s="31"/>
      <c r="D8" s="31"/>
      <c r="E8" s="32"/>
    </row>
    <row r="9" spans="1:5" ht="15.75">
      <c r="A9" s="30" t="s">
        <v>110</v>
      </c>
      <c r="B9" s="31">
        <v>0.74</v>
      </c>
      <c r="C9" s="31"/>
      <c r="D9" s="31"/>
      <c r="E9" s="32"/>
    </row>
    <row r="10" spans="1:5" ht="15.75">
      <c r="A10" s="30" t="s">
        <v>4</v>
      </c>
      <c r="B10" s="31">
        <v>1.01</v>
      </c>
      <c r="C10" s="31"/>
      <c r="D10" s="31"/>
      <c r="E10" s="32"/>
    </row>
    <row r="11" spans="1:5" ht="15.75">
      <c r="A11" s="30" t="s">
        <v>5</v>
      </c>
      <c r="B11" s="31">
        <v>0.85</v>
      </c>
      <c r="C11" s="31"/>
      <c r="D11" s="31"/>
      <c r="E11" s="32"/>
    </row>
    <row r="12" spans="1:5" ht="29.25">
      <c r="A12" s="30" t="s">
        <v>57</v>
      </c>
      <c r="B12" s="31">
        <v>0.72</v>
      </c>
      <c r="C12" s="31"/>
      <c r="D12" s="31"/>
      <c r="E12" s="32"/>
    </row>
    <row r="13" spans="1:5" ht="15.75">
      <c r="A13" s="30" t="s">
        <v>111</v>
      </c>
      <c r="B13" s="31">
        <v>0.78</v>
      </c>
      <c r="C13" s="31"/>
      <c r="D13" s="31"/>
      <c r="E13" s="32"/>
    </row>
    <row r="14" spans="1:5" ht="15.75">
      <c r="A14" s="30" t="s">
        <v>112</v>
      </c>
      <c r="B14" s="31">
        <v>0.82</v>
      </c>
      <c r="C14" s="31"/>
      <c r="D14" s="31"/>
      <c r="E14" s="32"/>
    </row>
    <row r="15" spans="1:5" ht="29.25">
      <c r="A15" s="30" t="s">
        <v>58</v>
      </c>
      <c r="B15" s="31">
        <v>0.59</v>
      </c>
      <c r="C15" s="31"/>
      <c r="D15" s="31"/>
      <c r="E15" s="32"/>
    </row>
    <row r="16" spans="1:5" ht="15.75">
      <c r="A16" s="30" t="s">
        <v>113</v>
      </c>
      <c r="B16" s="31">
        <v>0.77</v>
      </c>
      <c r="C16" s="31"/>
      <c r="D16" s="31"/>
      <c r="E16" s="32"/>
    </row>
    <row r="17" spans="1:5" ht="15.75">
      <c r="A17" s="30" t="s">
        <v>59</v>
      </c>
      <c r="B17" s="31">
        <v>0.83</v>
      </c>
      <c r="C17" s="31"/>
      <c r="D17" s="31"/>
      <c r="E17" s="32"/>
    </row>
    <row r="18" spans="1:5" ht="15.75">
      <c r="A18" s="30" t="s">
        <v>6</v>
      </c>
      <c r="B18" s="31">
        <v>0.96</v>
      </c>
      <c r="C18" s="31"/>
      <c r="D18" s="31"/>
      <c r="E18" s="32"/>
    </row>
    <row r="19" spans="1:5" ht="15.75">
      <c r="A19" s="30" t="s">
        <v>114</v>
      </c>
      <c r="B19" s="31">
        <v>0.65</v>
      </c>
      <c r="C19" s="31"/>
      <c r="D19" s="31"/>
      <c r="E19" s="32"/>
    </row>
    <row r="20" spans="1:5" ht="15.75">
      <c r="A20" s="30" t="s">
        <v>115</v>
      </c>
      <c r="B20" s="31">
        <v>0.44</v>
      </c>
      <c r="C20" s="31"/>
      <c r="D20" s="31"/>
      <c r="E20" s="32"/>
    </row>
    <row r="21" spans="1:5" ht="15.75">
      <c r="A21" s="30" t="s">
        <v>116</v>
      </c>
      <c r="B21" s="31">
        <v>0.54</v>
      </c>
      <c r="C21" s="31"/>
      <c r="D21" s="31"/>
      <c r="E21" s="32"/>
    </row>
    <row r="22" spans="1:5" ht="15.75">
      <c r="A22" s="30" t="s">
        <v>117</v>
      </c>
      <c r="B22" s="31">
        <v>0.74</v>
      </c>
      <c r="C22" s="31"/>
      <c r="D22" s="31"/>
      <c r="E22" s="32"/>
    </row>
    <row r="23" spans="1:5" ht="57.75">
      <c r="A23" s="30" t="s">
        <v>118</v>
      </c>
      <c r="B23" s="31">
        <v>0.73</v>
      </c>
      <c r="C23" s="31"/>
      <c r="D23" s="31"/>
      <c r="E23" s="32"/>
    </row>
    <row r="24" spans="1:5" ht="15.75">
      <c r="A24" s="30" t="s">
        <v>119</v>
      </c>
      <c r="B24" s="31">
        <v>0.69</v>
      </c>
      <c r="C24" s="31"/>
      <c r="D24" s="31"/>
      <c r="E24" s="32"/>
    </row>
    <row r="25" spans="1:5" ht="15.75">
      <c r="A25" s="30" t="s">
        <v>7</v>
      </c>
      <c r="B25" s="31">
        <v>0.7</v>
      </c>
      <c r="C25" s="31"/>
      <c r="D25" s="31"/>
      <c r="E25" s="32"/>
    </row>
    <row r="26" spans="1:5" ht="15.75">
      <c r="A26" s="30" t="s">
        <v>120</v>
      </c>
      <c r="B26" s="31">
        <v>0.7</v>
      </c>
      <c r="C26" s="31"/>
      <c r="D26" s="31"/>
      <c r="E26" s="32"/>
    </row>
    <row r="27" spans="1:5" ht="15.75">
      <c r="A27" s="30" t="s">
        <v>8</v>
      </c>
      <c r="B27" s="31">
        <v>0.77</v>
      </c>
      <c r="C27" s="31"/>
      <c r="D27" s="31"/>
      <c r="E27" s="32"/>
    </row>
    <row r="28" spans="1:5" ht="29.25">
      <c r="A28" s="30" t="s">
        <v>121</v>
      </c>
      <c r="B28" s="31">
        <v>0.32</v>
      </c>
      <c r="C28" s="31"/>
      <c r="D28" s="31"/>
      <c r="E28" s="32"/>
    </row>
    <row r="29" spans="1:5" ht="15.75">
      <c r="A29" s="30" t="s">
        <v>122</v>
      </c>
      <c r="B29" s="31">
        <v>0.4</v>
      </c>
      <c r="C29" s="31"/>
      <c r="D29" s="31"/>
      <c r="E29" s="32"/>
    </row>
    <row r="30" spans="1:5" ht="29.25">
      <c r="A30" s="30" t="s">
        <v>123</v>
      </c>
      <c r="B30" s="31">
        <v>0.49</v>
      </c>
      <c r="C30" s="31"/>
      <c r="D30" s="31"/>
      <c r="E30" s="32"/>
    </row>
    <row r="31" spans="1:5" ht="29.25">
      <c r="A31" s="30" t="s">
        <v>124</v>
      </c>
      <c r="B31" s="31">
        <v>0.56999999999999995</v>
      </c>
      <c r="C31" s="31"/>
      <c r="D31" s="31"/>
      <c r="E31" s="32"/>
    </row>
    <row r="32" spans="1:5" ht="15.75">
      <c r="A32" s="30" t="s">
        <v>9</v>
      </c>
      <c r="B32" s="31">
        <v>0.92</v>
      </c>
      <c r="C32" s="31"/>
      <c r="D32" s="31"/>
      <c r="E32" s="32"/>
    </row>
    <row r="33" spans="1:5" ht="29.25">
      <c r="A33" s="30" t="s">
        <v>125</v>
      </c>
      <c r="B33" s="31">
        <v>0.56000000000000005</v>
      </c>
      <c r="C33" s="31"/>
      <c r="D33" s="31"/>
      <c r="E33" s="32"/>
    </row>
    <row r="34" spans="1:5" ht="43.5">
      <c r="A34" s="30" t="s">
        <v>126</v>
      </c>
      <c r="B34" s="31">
        <v>0.37</v>
      </c>
      <c r="C34" s="31"/>
      <c r="D34" s="31"/>
      <c r="E34" s="32"/>
    </row>
    <row r="35" spans="1:5" ht="15.75">
      <c r="A35" s="30" t="s">
        <v>127</v>
      </c>
      <c r="B35" s="31">
        <v>0.31</v>
      </c>
      <c r="C35" s="31"/>
      <c r="D35" s="31"/>
      <c r="E35" s="32"/>
    </row>
    <row r="36" spans="1:5" ht="15.75">
      <c r="A36" s="30" t="s">
        <v>10</v>
      </c>
      <c r="B36" s="31">
        <v>0.83</v>
      </c>
      <c r="C36" s="31"/>
      <c r="D36" s="31"/>
      <c r="E36" s="32"/>
    </row>
    <row r="37" spans="1:5" ht="15.75">
      <c r="A37" s="30" t="s">
        <v>11</v>
      </c>
      <c r="B37" s="31">
        <v>0.65</v>
      </c>
      <c r="C37" s="31"/>
      <c r="D37" s="31"/>
      <c r="E37" s="32"/>
    </row>
    <row r="38" spans="1:5" ht="15.75">
      <c r="A38" s="30" t="s">
        <v>61</v>
      </c>
      <c r="B38" s="31">
        <v>0.7</v>
      </c>
      <c r="C38" s="31"/>
      <c r="D38" s="31"/>
      <c r="E38" s="32"/>
    </row>
    <row r="39" spans="1:5" ht="15.75">
      <c r="A39" s="30" t="s">
        <v>128</v>
      </c>
      <c r="B39" s="31">
        <v>0.5</v>
      </c>
      <c r="C39" s="31"/>
      <c r="D39" s="31"/>
      <c r="E39" s="32"/>
    </row>
    <row r="40" spans="1:5" ht="29.25">
      <c r="A40" s="30" t="s">
        <v>62</v>
      </c>
      <c r="B40" s="31">
        <v>0.75</v>
      </c>
      <c r="C40" s="31"/>
      <c r="D40" s="31"/>
      <c r="E40" s="32"/>
    </row>
    <row r="41" spans="1:5" ht="15.75">
      <c r="A41" s="30" t="s">
        <v>63</v>
      </c>
      <c r="B41" s="31">
        <v>0.83</v>
      </c>
      <c r="C41" s="31"/>
      <c r="D41" s="31"/>
      <c r="E41" s="32"/>
    </row>
    <row r="42" spans="1:5" ht="15.75">
      <c r="A42" s="30" t="s">
        <v>129</v>
      </c>
      <c r="B42" s="31">
        <v>0.82</v>
      </c>
      <c r="C42" s="31"/>
      <c r="D42" s="31"/>
      <c r="E42" s="32"/>
    </row>
    <row r="43" spans="1:5" ht="15.75">
      <c r="A43" s="30" t="s">
        <v>64</v>
      </c>
      <c r="B43" s="31">
        <v>0.85</v>
      </c>
      <c r="C43" s="31"/>
      <c r="D43" s="31"/>
      <c r="E43" s="32"/>
    </row>
    <row r="44" spans="1:5" ht="29.25">
      <c r="A44" s="30" t="s">
        <v>65</v>
      </c>
      <c r="B44" s="31">
        <v>0.88</v>
      </c>
      <c r="C44" s="31"/>
      <c r="D44" s="31"/>
      <c r="E44" s="32"/>
    </row>
    <row r="45" spans="1:5" ht="15.75">
      <c r="A45" s="30" t="s">
        <v>13</v>
      </c>
      <c r="B45" s="31">
        <v>0.95</v>
      </c>
      <c r="C45" s="31"/>
      <c r="D45" s="31"/>
      <c r="E45" s="32"/>
    </row>
    <row r="46" spans="1:5" ht="15.75">
      <c r="A46" s="30" t="s">
        <v>130</v>
      </c>
      <c r="B46" s="31">
        <v>0.34</v>
      </c>
      <c r="C46" s="31"/>
      <c r="D46" s="31"/>
      <c r="E46" s="32"/>
    </row>
    <row r="47" spans="1:5" ht="15.75">
      <c r="A47" s="30" t="s">
        <v>131</v>
      </c>
      <c r="B47" s="31">
        <v>0.64</v>
      </c>
      <c r="C47" s="31"/>
      <c r="D47" s="31"/>
      <c r="E47" s="32"/>
    </row>
    <row r="48" spans="1:5" ht="43.5">
      <c r="A48" s="30" t="s">
        <v>66</v>
      </c>
      <c r="B48" s="31">
        <v>0.71</v>
      </c>
      <c r="C48" s="31"/>
      <c r="D48" s="31"/>
      <c r="E48" s="32"/>
    </row>
    <row r="49" spans="1:5" ht="29.25">
      <c r="A49" s="30" t="s">
        <v>132</v>
      </c>
      <c r="B49" s="31">
        <v>0.51</v>
      </c>
      <c r="C49" s="31"/>
      <c r="D49" s="31"/>
      <c r="E49" s="32"/>
    </row>
    <row r="50" spans="1:5" ht="15.75">
      <c r="A50" s="30" t="s">
        <v>67</v>
      </c>
      <c r="B50" s="31">
        <v>0.7</v>
      </c>
      <c r="C50" s="31"/>
      <c r="D50" s="31"/>
      <c r="E50" s="32"/>
    </row>
    <row r="51" spans="1:5" ht="15.75">
      <c r="A51" s="30" t="s">
        <v>68</v>
      </c>
      <c r="B51" s="31">
        <v>0.7</v>
      </c>
      <c r="C51" s="31"/>
      <c r="D51" s="31"/>
      <c r="E51" s="32"/>
    </row>
    <row r="52" spans="1:5" ht="29.25">
      <c r="A52" s="30" t="s">
        <v>133</v>
      </c>
      <c r="B52" s="31">
        <v>0.59</v>
      </c>
      <c r="C52" s="31"/>
      <c r="D52" s="31"/>
      <c r="E52" s="32"/>
    </row>
    <row r="53" spans="1:5" ht="29.25">
      <c r="A53" s="30" t="s">
        <v>134</v>
      </c>
      <c r="B53" s="31">
        <v>0.47</v>
      </c>
      <c r="C53" s="31"/>
      <c r="D53" s="31"/>
      <c r="E53" s="32"/>
    </row>
    <row r="54" spans="1:5" ht="15.75">
      <c r="A54" s="30" t="s">
        <v>135</v>
      </c>
      <c r="B54" s="31">
        <v>0.39</v>
      </c>
      <c r="C54" s="31"/>
      <c r="D54" s="31"/>
      <c r="E54" s="32"/>
    </row>
    <row r="55" spans="1:5" ht="15.75">
      <c r="A55" s="30" t="s">
        <v>69</v>
      </c>
      <c r="B55" s="31">
        <v>0.89</v>
      </c>
      <c r="C55" s="31"/>
      <c r="D55" s="31"/>
      <c r="E55" s="32"/>
    </row>
    <row r="56" spans="1:5" ht="15.75">
      <c r="A56" s="30" t="s">
        <v>136</v>
      </c>
      <c r="B56" s="31">
        <v>0.56999999999999995</v>
      </c>
      <c r="C56" s="31"/>
      <c r="D56" s="31"/>
      <c r="E56" s="32"/>
    </row>
    <row r="57" spans="1:5" ht="15.75">
      <c r="A57" s="30" t="s">
        <v>137</v>
      </c>
      <c r="B57" s="31">
        <v>0.38</v>
      </c>
      <c r="C57" s="31"/>
      <c r="D57" s="31"/>
      <c r="E57" s="32"/>
    </row>
    <row r="58" spans="1:5" ht="15.75">
      <c r="A58" s="30" t="s">
        <v>138</v>
      </c>
      <c r="B58" s="31">
        <v>0.77</v>
      </c>
      <c r="C58" s="31"/>
      <c r="D58" s="31"/>
      <c r="E58" s="32"/>
    </row>
    <row r="59" spans="1:5" ht="15.75">
      <c r="A59" s="30" t="s">
        <v>15</v>
      </c>
      <c r="B59" s="31">
        <v>0.96</v>
      </c>
      <c r="C59" s="31"/>
      <c r="D59" s="31"/>
      <c r="E59" s="32"/>
    </row>
    <row r="60" spans="1:5" ht="15.75">
      <c r="A60" s="30" t="s">
        <v>16</v>
      </c>
      <c r="B60" s="31">
        <v>0.83</v>
      </c>
      <c r="C60" s="31"/>
      <c r="D60" s="31"/>
      <c r="E60" s="32"/>
    </row>
    <row r="61" spans="1:5" ht="15.75">
      <c r="A61" s="30" t="s">
        <v>139</v>
      </c>
      <c r="B61" s="31">
        <v>0.67</v>
      </c>
      <c r="C61" s="31"/>
      <c r="D61" s="31"/>
      <c r="E61" s="32"/>
    </row>
    <row r="62" spans="1:5" ht="15.75">
      <c r="A62" s="30" t="s">
        <v>140</v>
      </c>
      <c r="B62" s="31">
        <v>0.41</v>
      </c>
      <c r="C62" s="31"/>
      <c r="D62" s="31"/>
      <c r="E62" s="32"/>
    </row>
    <row r="63" spans="1:5" ht="15.75">
      <c r="A63" s="30" t="s">
        <v>70</v>
      </c>
      <c r="B63" s="31">
        <v>0.86</v>
      </c>
      <c r="C63" s="31"/>
      <c r="D63" s="31"/>
      <c r="E63" s="32"/>
    </row>
    <row r="64" spans="1:5" ht="15.75">
      <c r="A64" s="30" t="s">
        <v>17</v>
      </c>
      <c r="B64" s="31">
        <v>0.94</v>
      </c>
      <c r="C64" s="31"/>
      <c r="D64" s="31"/>
      <c r="E64" s="32"/>
    </row>
    <row r="65" spans="1:5" ht="15.75">
      <c r="A65" s="30" t="s">
        <v>141</v>
      </c>
      <c r="B65" s="31">
        <v>0.61</v>
      </c>
      <c r="C65" s="31"/>
      <c r="D65" s="31"/>
      <c r="E65" s="32"/>
    </row>
    <row r="66" spans="1:5" ht="15.75">
      <c r="A66" s="30" t="s">
        <v>18</v>
      </c>
      <c r="B66" s="31">
        <v>0.94</v>
      </c>
      <c r="C66" s="31"/>
      <c r="D66" s="31"/>
      <c r="E66" s="32"/>
    </row>
    <row r="67" spans="1:5" ht="15.75">
      <c r="A67" s="30" t="s">
        <v>142</v>
      </c>
      <c r="B67" s="31">
        <v>0.82</v>
      </c>
      <c r="C67" s="31"/>
      <c r="D67" s="31"/>
      <c r="E67" s="32"/>
    </row>
    <row r="68" spans="1:5" ht="29.25">
      <c r="A68" s="30" t="s">
        <v>71</v>
      </c>
      <c r="B68" s="31">
        <v>0.48</v>
      </c>
      <c r="C68" s="31"/>
      <c r="D68" s="31"/>
      <c r="E68" s="32"/>
    </row>
    <row r="69" spans="1:5" ht="15.75">
      <c r="A69" s="30" t="s">
        <v>143</v>
      </c>
      <c r="B69" s="31">
        <v>0.35</v>
      </c>
      <c r="C69" s="31"/>
      <c r="D69" s="31"/>
      <c r="E69" s="32"/>
    </row>
    <row r="70" spans="1:5" ht="29.25">
      <c r="A70" s="30" t="s">
        <v>144</v>
      </c>
      <c r="B70" s="31">
        <v>0.41</v>
      </c>
      <c r="C70" s="31"/>
      <c r="D70" s="31"/>
      <c r="E70" s="32"/>
    </row>
    <row r="71" spans="1:5" ht="15.75">
      <c r="A71" s="30" t="s">
        <v>145</v>
      </c>
      <c r="B71" s="31">
        <v>0.63</v>
      </c>
      <c r="C71" s="31"/>
      <c r="D71" s="31"/>
      <c r="E71" s="32"/>
    </row>
    <row r="72" spans="1:5" ht="15.75">
      <c r="A72" s="30" t="s">
        <v>146</v>
      </c>
      <c r="B72" s="31">
        <v>0.46</v>
      </c>
      <c r="C72" s="31"/>
      <c r="D72" s="31"/>
      <c r="E72" s="32"/>
    </row>
    <row r="73" spans="1:5" ht="15.75">
      <c r="A73" s="30" t="s">
        <v>147</v>
      </c>
      <c r="B73" s="31">
        <v>0.52</v>
      </c>
      <c r="C73" s="31"/>
      <c r="D73" s="31"/>
      <c r="E73" s="32"/>
    </row>
    <row r="74" spans="1:5" ht="29.25">
      <c r="A74" s="30" t="s">
        <v>19</v>
      </c>
      <c r="B74" s="31">
        <v>0.89</v>
      </c>
      <c r="C74" s="31"/>
      <c r="D74" s="31"/>
      <c r="E74" s="32"/>
    </row>
    <row r="75" spans="1:5" ht="15.75">
      <c r="A75" s="30" t="s">
        <v>73</v>
      </c>
      <c r="B75" s="31">
        <v>0.82</v>
      </c>
      <c r="C75" s="31"/>
      <c r="D75" s="31"/>
      <c r="E75" s="32"/>
    </row>
    <row r="76" spans="1:5" ht="15.75">
      <c r="A76" s="30" t="s">
        <v>20</v>
      </c>
      <c r="B76" s="31">
        <v>0.99</v>
      </c>
      <c r="C76" s="31"/>
      <c r="D76" s="31"/>
      <c r="E76" s="32"/>
    </row>
    <row r="77" spans="1:5" ht="15.75">
      <c r="A77" s="30" t="s">
        <v>21</v>
      </c>
      <c r="B77" s="31">
        <v>0.55000000000000004</v>
      </c>
      <c r="C77" s="31"/>
      <c r="D77" s="31"/>
      <c r="E77" s="32"/>
    </row>
    <row r="78" spans="1:5" ht="15.75">
      <c r="A78" s="30" t="s">
        <v>22</v>
      </c>
      <c r="B78" s="31">
        <v>0.67</v>
      </c>
      <c r="C78" s="31"/>
      <c r="D78" s="31"/>
      <c r="E78" s="32"/>
    </row>
    <row r="79" spans="1:5" ht="15.75">
      <c r="A79" s="30" t="s">
        <v>74</v>
      </c>
      <c r="B79" s="31">
        <v>0.76</v>
      </c>
      <c r="C79" s="31"/>
      <c r="D79" s="31"/>
      <c r="E79" s="32"/>
    </row>
    <row r="80" spans="1:5" ht="15.75">
      <c r="A80" s="30" t="s">
        <v>75</v>
      </c>
      <c r="B80" s="31">
        <v>0.6</v>
      </c>
      <c r="C80" s="31"/>
      <c r="D80" s="31"/>
      <c r="E80" s="32"/>
    </row>
    <row r="81" spans="1:5" ht="15.75">
      <c r="A81" s="30" t="s">
        <v>23</v>
      </c>
      <c r="B81" s="31">
        <v>0.91</v>
      </c>
      <c r="C81" s="31"/>
      <c r="D81" s="31"/>
      <c r="E81" s="32"/>
    </row>
    <row r="82" spans="1:5" ht="15.75">
      <c r="A82" s="30" t="s">
        <v>24</v>
      </c>
      <c r="B82" s="31">
        <v>0.89</v>
      </c>
      <c r="C82" s="31"/>
      <c r="D82" s="31"/>
      <c r="E82" s="32"/>
    </row>
    <row r="83" spans="1:5" ht="15.75">
      <c r="A83" s="30" t="s">
        <v>25</v>
      </c>
      <c r="B83" s="31">
        <v>0.81</v>
      </c>
      <c r="C83" s="31"/>
      <c r="D83" s="31"/>
      <c r="E83" s="32"/>
    </row>
    <row r="84" spans="1:5" ht="29.25">
      <c r="A84" s="30" t="s">
        <v>148</v>
      </c>
      <c r="B84" s="31">
        <v>0.47</v>
      </c>
      <c r="C84" s="31"/>
      <c r="D84" s="31"/>
      <c r="E84" s="32"/>
    </row>
    <row r="85" spans="1:5" ht="15.75">
      <c r="A85" s="30" t="s">
        <v>26</v>
      </c>
      <c r="B85" s="31">
        <v>0.68</v>
      </c>
      <c r="C85" s="31"/>
      <c r="D85" s="31"/>
      <c r="E85" s="32"/>
    </row>
    <row r="86" spans="1:5" ht="15.75">
      <c r="A86" s="30" t="s">
        <v>27</v>
      </c>
      <c r="B86" s="31">
        <v>0.87</v>
      </c>
      <c r="C86" s="31"/>
      <c r="D86" s="31"/>
      <c r="E86" s="32"/>
    </row>
    <row r="87" spans="1:5" ht="15.75">
      <c r="A87" s="30" t="s">
        <v>76</v>
      </c>
      <c r="B87" s="31">
        <v>0.64</v>
      </c>
      <c r="C87" s="31"/>
      <c r="D87" s="31"/>
      <c r="E87" s="32"/>
    </row>
    <row r="88" spans="1:5" ht="29.25">
      <c r="A88" s="30" t="s">
        <v>77</v>
      </c>
      <c r="B88" s="31">
        <v>0.85</v>
      </c>
      <c r="C88" s="31"/>
      <c r="D88" s="31"/>
      <c r="E88" s="32"/>
    </row>
    <row r="89" spans="1:5" ht="15.75">
      <c r="A89" s="30" t="s">
        <v>78</v>
      </c>
      <c r="B89" s="31">
        <v>0.52</v>
      </c>
      <c r="C89" s="31"/>
      <c r="D89" s="31"/>
      <c r="E89" s="32"/>
    </row>
    <row r="90" spans="1:5" ht="15.75">
      <c r="A90" s="30" t="s">
        <v>149</v>
      </c>
      <c r="B90" s="31">
        <v>0.59</v>
      </c>
      <c r="C90" s="31"/>
      <c r="D90" s="31"/>
      <c r="E90" s="32"/>
    </row>
    <row r="91" spans="1:5" ht="15.75">
      <c r="A91" s="30" t="s">
        <v>79</v>
      </c>
      <c r="B91" s="31">
        <v>0.67</v>
      </c>
      <c r="C91" s="31"/>
      <c r="D91" s="31"/>
      <c r="E91" s="32"/>
    </row>
    <row r="92" spans="1:5" ht="29.25">
      <c r="A92" s="30" t="s">
        <v>150</v>
      </c>
      <c r="B92" s="31">
        <v>0.75</v>
      </c>
      <c r="C92" s="31"/>
      <c r="D92" s="31"/>
      <c r="E92" s="32"/>
    </row>
    <row r="93" spans="1:5" ht="15.75">
      <c r="A93" s="30" t="s">
        <v>151</v>
      </c>
      <c r="B93" s="31">
        <v>0.46</v>
      </c>
      <c r="C93" s="31"/>
      <c r="D93" s="31"/>
      <c r="E93" s="32"/>
    </row>
    <row r="94" spans="1:5" ht="15.75">
      <c r="A94" s="30" t="s">
        <v>80</v>
      </c>
      <c r="B94" s="31">
        <v>0.89</v>
      </c>
      <c r="C94" s="31"/>
      <c r="D94" s="31"/>
      <c r="E94" s="32"/>
    </row>
    <row r="95" spans="1:5" ht="15.75">
      <c r="A95" s="30" t="s">
        <v>81</v>
      </c>
      <c r="B95" s="31">
        <v>0.6</v>
      </c>
      <c r="C95" s="31"/>
      <c r="D95" s="31"/>
      <c r="E95" s="32"/>
    </row>
    <row r="96" spans="1:5" ht="15.75">
      <c r="A96" s="30" t="s">
        <v>152</v>
      </c>
      <c r="B96" s="31">
        <v>0.53</v>
      </c>
      <c r="C96" s="31"/>
      <c r="D96" s="31"/>
      <c r="E96" s="32"/>
    </row>
    <row r="97" spans="1:5" ht="15.75">
      <c r="A97" s="30" t="s">
        <v>153</v>
      </c>
      <c r="B97" s="31">
        <v>0.46</v>
      </c>
      <c r="C97" s="31"/>
      <c r="D97" s="31"/>
      <c r="E97" s="32"/>
    </row>
    <row r="98" spans="1:5" ht="15.75">
      <c r="A98" s="30" t="s">
        <v>154</v>
      </c>
      <c r="B98" s="31">
        <v>0.61</v>
      </c>
      <c r="C98" s="31"/>
      <c r="D98" s="31"/>
      <c r="E98" s="32"/>
    </row>
    <row r="99" spans="1:5" ht="29.25">
      <c r="A99" s="30" t="s">
        <v>155</v>
      </c>
      <c r="B99" s="31">
        <v>0.84</v>
      </c>
      <c r="C99" s="31"/>
      <c r="D99" s="31"/>
      <c r="E99" s="32"/>
    </row>
    <row r="100" spans="1:5" ht="15.75">
      <c r="A100" s="30" t="s">
        <v>28</v>
      </c>
      <c r="B100" s="31">
        <v>0.9</v>
      </c>
      <c r="C100" s="31"/>
      <c r="D100" s="31"/>
      <c r="E100" s="32"/>
    </row>
    <row r="101" spans="1:5" ht="29.25">
      <c r="A101" s="30" t="s">
        <v>82</v>
      </c>
      <c r="B101" s="31">
        <v>0.83</v>
      </c>
      <c r="C101" s="31"/>
      <c r="D101" s="31"/>
      <c r="E101" s="32"/>
    </row>
    <row r="102" spans="1:5" ht="29.25">
      <c r="A102" s="30" t="s">
        <v>156</v>
      </c>
      <c r="B102" s="31">
        <v>0.45</v>
      </c>
      <c r="C102" s="31"/>
      <c r="D102" s="31"/>
      <c r="E102" s="32"/>
    </row>
    <row r="103" spans="1:5" ht="15.75">
      <c r="A103" s="30" t="s">
        <v>157</v>
      </c>
      <c r="B103" s="31">
        <v>0.5</v>
      </c>
      <c r="C103" s="31"/>
      <c r="D103" s="31"/>
      <c r="E103" s="32"/>
    </row>
    <row r="104" spans="1:5" ht="15.75">
      <c r="A104" s="30" t="s">
        <v>29</v>
      </c>
      <c r="B104" s="31">
        <v>0.72</v>
      </c>
      <c r="C104" s="31"/>
      <c r="D104" s="31"/>
      <c r="E104" s="32"/>
    </row>
    <row r="105" spans="1:5" ht="15.75">
      <c r="A105" s="30" t="s">
        <v>158</v>
      </c>
      <c r="B105" s="31">
        <v>0.59</v>
      </c>
      <c r="C105" s="31"/>
      <c r="D105" s="31"/>
      <c r="E105" s="32"/>
    </row>
    <row r="106" spans="1:5" ht="15.75">
      <c r="A106" s="30" t="s">
        <v>159</v>
      </c>
      <c r="B106" s="31">
        <v>0.28000000000000003</v>
      </c>
      <c r="C106" s="31"/>
      <c r="D106" s="31"/>
      <c r="E106" s="32"/>
    </row>
    <row r="107" spans="1:5" ht="15.75">
      <c r="A107" s="30" t="s">
        <v>83</v>
      </c>
      <c r="B107" s="31">
        <v>0.87</v>
      </c>
      <c r="C107" s="31"/>
      <c r="D107" s="31"/>
      <c r="E107" s="32"/>
    </row>
    <row r="108" spans="1:5" ht="29.25">
      <c r="A108" s="30" t="s">
        <v>160</v>
      </c>
      <c r="B108" s="31">
        <v>0.65</v>
      </c>
      <c r="C108" s="31"/>
      <c r="D108" s="31"/>
      <c r="E108" s="32"/>
    </row>
    <row r="109" spans="1:5" ht="29.25">
      <c r="A109" s="30" t="s">
        <v>161</v>
      </c>
      <c r="B109" s="31">
        <v>0.42</v>
      </c>
      <c r="C109" s="31"/>
      <c r="D109" s="31"/>
      <c r="E109" s="32"/>
    </row>
    <row r="110" spans="1:5" ht="15.75">
      <c r="A110" s="30" t="s">
        <v>162</v>
      </c>
      <c r="B110" s="31">
        <v>0.77</v>
      </c>
      <c r="C110" s="31"/>
      <c r="D110" s="31"/>
      <c r="E110" s="32"/>
    </row>
    <row r="111" spans="1:5" ht="15.75">
      <c r="A111" s="30" t="s">
        <v>30</v>
      </c>
      <c r="B111" s="31">
        <v>0.72</v>
      </c>
      <c r="C111" s="31"/>
      <c r="D111" s="31"/>
      <c r="E111" s="32"/>
    </row>
    <row r="112" spans="1:5" ht="15.75">
      <c r="A112" s="30" t="s">
        <v>163</v>
      </c>
      <c r="B112" s="31">
        <v>0.79</v>
      </c>
      <c r="C112" s="31"/>
      <c r="D112" s="31"/>
      <c r="E112" s="32"/>
    </row>
    <row r="113" spans="1:5" ht="15.75">
      <c r="A113" s="30" t="s">
        <v>164</v>
      </c>
      <c r="B113" s="31">
        <v>0.73</v>
      </c>
      <c r="C113" s="31"/>
      <c r="D113" s="31"/>
      <c r="E113" s="32"/>
    </row>
    <row r="114" spans="1:5" ht="29.25">
      <c r="A114" s="30" t="s">
        <v>165</v>
      </c>
      <c r="B114" s="31">
        <v>0.83</v>
      </c>
      <c r="C114" s="31"/>
      <c r="D114" s="31"/>
      <c r="E114" s="32"/>
    </row>
    <row r="115" spans="1:5" ht="15.75">
      <c r="A115" s="30" t="s">
        <v>84</v>
      </c>
      <c r="B115" s="31">
        <v>0.59</v>
      </c>
      <c r="C115" s="31"/>
      <c r="D115" s="31"/>
      <c r="E115" s="32"/>
    </row>
    <row r="116" spans="1:5" ht="29.25">
      <c r="A116" s="30" t="s">
        <v>166</v>
      </c>
      <c r="B116" s="31">
        <v>0.39</v>
      </c>
      <c r="C116" s="31"/>
      <c r="D116" s="31"/>
      <c r="E116" s="32"/>
    </row>
    <row r="117" spans="1:5" ht="15.75">
      <c r="A117" s="30" t="s">
        <v>167</v>
      </c>
      <c r="B117" s="31">
        <v>0.52</v>
      </c>
      <c r="C117" s="31"/>
      <c r="D117" s="31"/>
      <c r="E117" s="32"/>
    </row>
    <row r="118" spans="1:5" ht="15.75">
      <c r="A118" s="30" t="s">
        <v>168</v>
      </c>
      <c r="B118" s="31">
        <v>0.56999999999999995</v>
      </c>
      <c r="C118" s="31"/>
      <c r="D118" s="31"/>
      <c r="E118" s="32"/>
    </row>
    <row r="119" spans="1:5" ht="15.75">
      <c r="A119" s="30" t="s">
        <v>85</v>
      </c>
      <c r="B119" s="31">
        <v>0.53</v>
      </c>
      <c r="C119" s="31"/>
      <c r="D119" s="31"/>
      <c r="E119" s="32"/>
    </row>
    <row r="120" spans="1:5" ht="29.25">
      <c r="A120" s="30" t="s">
        <v>31</v>
      </c>
      <c r="B120" s="31">
        <v>0.94</v>
      </c>
      <c r="C120" s="31"/>
      <c r="D120" s="31"/>
      <c r="E120" s="32"/>
    </row>
    <row r="121" spans="1:5" ht="29.25">
      <c r="A121" s="30" t="s">
        <v>32</v>
      </c>
      <c r="B121" s="31">
        <v>0.99</v>
      </c>
      <c r="C121" s="31"/>
      <c r="D121" s="31"/>
      <c r="E121" s="32"/>
    </row>
    <row r="122" spans="1:5" ht="29.25">
      <c r="A122" s="30" t="s">
        <v>169</v>
      </c>
      <c r="B122" s="31">
        <v>0.59</v>
      </c>
      <c r="C122" s="31"/>
      <c r="D122" s="31"/>
      <c r="E122" s="32"/>
    </row>
    <row r="123" spans="1:5" ht="15.75">
      <c r="A123" s="30" t="s">
        <v>170</v>
      </c>
      <c r="B123" s="31">
        <v>0.26</v>
      </c>
      <c r="C123" s="31"/>
      <c r="D123" s="31"/>
      <c r="E123" s="32"/>
    </row>
    <row r="124" spans="1:5" ht="15.75">
      <c r="A124" s="30" t="s">
        <v>33</v>
      </c>
      <c r="B124" s="31">
        <v>0.52</v>
      </c>
      <c r="C124" s="31"/>
      <c r="D124" s="31"/>
      <c r="E124" s="32"/>
    </row>
    <row r="125" spans="1:5" ht="43.5">
      <c r="A125" s="30" t="s">
        <v>86</v>
      </c>
      <c r="B125" s="31">
        <v>0.72</v>
      </c>
      <c r="C125" s="31"/>
      <c r="D125" s="31"/>
      <c r="E125" s="32"/>
    </row>
    <row r="126" spans="1:5" ht="15.75">
      <c r="A126" s="30" t="s">
        <v>35</v>
      </c>
      <c r="B126" s="31">
        <v>0.94</v>
      </c>
      <c r="C126" s="31"/>
      <c r="D126" s="31"/>
      <c r="E126" s="32"/>
    </row>
    <row r="127" spans="1:5" ht="15.75">
      <c r="A127" s="30" t="s">
        <v>87</v>
      </c>
      <c r="B127" s="31">
        <v>0.8</v>
      </c>
      <c r="C127" s="31"/>
      <c r="D127" s="31"/>
      <c r="E127" s="32"/>
    </row>
    <row r="128" spans="1:5" ht="15.75">
      <c r="A128" s="30" t="s">
        <v>88</v>
      </c>
      <c r="B128" s="31">
        <v>0.39</v>
      </c>
      <c r="C128" s="31"/>
      <c r="D128" s="31"/>
      <c r="E128" s="32"/>
    </row>
    <row r="129" spans="1:5" ht="15.75">
      <c r="A129" s="30" t="s">
        <v>171</v>
      </c>
      <c r="B129" s="31">
        <v>0.86</v>
      </c>
      <c r="C129" s="31"/>
      <c r="D129" s="31"/>
      <c r="E129" s="32"/>
    </row>
    <row r="130" spans="1:5" ht="15.75">
      <c r="A130" s="30" t="s">
        <v>172</v>
      </c>
      <c r="B130" s="31">
        <v>0.7</v>
      </c>
      <c r="C130" s="31"/>
      <c r="D130" s="31"/>
      <c r="E130" s="32"/>
    </row>
    <row r="131" spans="1:5" ht="15.75">
      <c r="A131" s="30" t="s">
        <v>89</v>
      </c>
      <c r="B131" s="31">
        <v>0.71</v>
      </c>
      <c r="C131" s="31"/>
      <c r="D131" s="31"/>
      <c r="E131" s="32"/>
    </row>
    <row r="132" spans="1:5" ht="43.5">
      <c r="A132" s="30" t="s">
        <v>173</v>
      </c>
      <c r="B132" s="31">
        <v>0.45</v>
      </c>
      <c r="C132" s="31"/>
      <c r="D132" s="31"/>
      <c r="E132" s="32"/>
    </row>
    <row r="133" spans="1:5" ht="15.75">
      <c r="A133" s="30" t="s">
        <v>174</v>
      </c>
      <c r="B133" s="31">
        <v>0.66</v>
      </c>
      <c r="C133" s="31"/>
      <c r="D133" s="31"/>
      <c r="E133" s="32"/>
    </row>
    <row r="134" spans="1:5" ht="15.75">
      <c r="A134" s="30" t="s">
        <v>90</v>
      </c>
      <c r="B134" s="31">
        <v>0.76</v>
      </c>
      <c r="C134" s="31"/>
      <c r="D134" s="31"/>
      <c r="E134" s="32"/>
    </row>
    <row r="135" spans="1:5" ht="29.25">
      <c r="A135" s="30" t="s">
        <v>91</v>
      </c>
      <c r="B135" s="31">
        <v>0.66</v>
      </c>
      <c r="C135" s="31"/>
      <c r="D135" s="31"/>
      <c r="E135" s="32"/>
    </row>
    <row r="136" spans="1:5" ht="15.75">
      <c r="A136" s="30" t="s">
        <v>36</v>
      </c>
      <c r="B136" s="31">
        <v>0.88</v>
      </c>
      <c r="C136" s="31"/>
      <c r="D136" s="31"/>
      <c r="E136" s="32"/>
    </row>
    <row r="137" spans="1:5" ht="15.75">
      <c r="A137" s="30" t="s">
        <v>37</v>
      </c>
      <c r="B137" s="31">
        <v>0.79</v>
      </c>
      <c r="C137" s="31"/>
      <c r="D137" s="31"/>
      <c r="E137" s="32"/>
    </row>
    <row r="138" spans="1:5" ht="15.75">
      <c r="A138" s="30" t="s">
        <v>93</v>
      </c>
      <c r="B138" s="31">
        <v>0.68</v>
      </c>
      <c r="C138" s="31"/>
      <c r="D138" s="31"/>
      <c r="E138" s="32"/>
    </row>
    <row r="139" spans="1:5" ht="43.5">
      <c r="A139" s="30" t="s">
        <v>175</v>
      </c>
      <c r="B139" s="31">
        <v>0.55000000000000004</v>
      </c>
      <c r="C139" s="31"/>
      <c r="D139" s="31"/>
      <c r="E139" s="32"/>
    </row>
    <row r="140" spans="1:5" ht="15.75">
      <c r="A140" s="30" t="s">
        <v>38</v>
      </c>
      <c r="B140" s="31">
        <v>0.77</v>
      </c>
      <c r="C140" s="31"/>
      <c r="D140" s="31"/>
      <c r="E140" s="32"/>
    </row>
    <row r="141" spans="1:5" ht="15.75">
      <c r="A141" s="30" t="s">
        <v>39</v>
      </c>
      <c r="B141" s="31">
        <v>0.87</v>
      </c>
      <c r="C141" s="31"/>
      <c r="D141" s="31"/>
      <c r="E141" s="32"/>
    </row>
    <row r="142" spans="1:5" ht="15.75">
      <c r="A142" s="30" t="s">
        <v>176</v>
      </c>
      <c r="B142" s="31">
        <v>0.46</v>
      </c>
      <c r="C142" s="31"/>
      <c r="D142" s="31"/>
      <c r="E142" s="32"/>
    </row>
    <row r="143" spans="1:5" ht="43.5">
      <c r="A143" s="30" t="s">
        <v>177</v>
      </c>
      <c r="B143" s="31">
        <v>0.72</v>
      </c>
      <c r="C143" s="31"/>
      <c r="D143" s="31"/>
      <c r="E143" s="32"/>
    </row>
    <row r="144" spans="1:5" ht="29.25">
      <c r="A144" s="30" t="s">
        <v>178</v>
      </c>
      <c r="B144" s="31">
        <v>0.64</v>
      </c>
      <c r="C144" s="31"/>
      <c r="D144" s="31"/>
      <c r="E144" s="32"/>
    </row>
    <row r="145" spans="1:5" ht="72.75">
      <c r="A145" s="30" t="s">
        <v>179</v>
      </c>
      <c r="B145" s="31">
        <v>0.77</v>
      </c>
      <c r="C145" s="31"/>
      <c r="D145" s="31"/>
      <c r="E145" s="32"/>
    </row>
    <row r="146" spans="1:5" ht="15.75">
      <c r="A146" s="30" t="s">
        <v>180</v>
      </c>
      <c r="B146" s="31">
        <v>0.72</v>
      </c>
      <c r="C146" s="31"/>
      <c r="D146" s="31"/>
      <c r="E146" s="32"/>
    </row>
    <row r="147" spans="1:5" ht="29.25">
      <c r="A147" s="30" t="s">
        <v>181</v>
      </c>
      <c r="B147" s="31">
        <v>0.7</v>
      </c>
      <c r="C147" s="31"/>
      <c r="D147" s="31"/>
      <c r="E147" s="32"/>
    </row>
    <row r="148" spans="1:5" ht="43.5">
      <c r="A148" s="30" t="s">
        <v>182</v>
      </c>
      <c r="B148" s="31">
        <v>0.57999999999999996</v>
      </c>
      <c r="C148" s="31"/>
      <c r="D148" s="31"/>
      <c r="E148" s="32"/>
    </row>
    <row r="149" spans="1:5" ht="29.25">
      <c r="A149" s="30" t="s">
        <v>40</v>
      </c>
      <c r="B149" s="31">
        <v>0.82</v>
      </c>
      <c r="C149" s="31"/>
      <c r="D149" s="31"/>
      <c r="E149" s="32"/>
    </row>
    <row r="150" spans="1:5" ht="15.75">
      <c r="A150" s="30" t="s">
        <v>183</v>
      </c>
      <c r="B150" s="31">
        <v>0.35</v>
      </c>
      <c r="C150" s="31"/>
      <c r="D150" s="31"/>
      <c r="E150" s="32"/>
    </row>
    <row r="151" spans="1:5" ht="15.75">
      <c r="A151" s="30" t="s">
        <v>94</v>
      </c>
      <c r="B151" s="31">
        <v>0.78</v>
      </c>
      <c r="C151" s="31"/>
      <c r="D151" s="31"/>
      <c r="E151" s="32"/>
    </row>
    <row r="152" spans="1:5" ht="29.25">
      <c r="A152" s="30" t="s">
        <v>184</v>
      </c>
      <c r="B152" s="31">
        <v>0.73</v>
      </c>
      <c r="C152" s="31"/>
      <c r="D152" s="31"/>
      <c r="E152" s="32"/>
    </row>
    <row r="153" spans="1:5" ht="29.25">
      <c r="A153" s="30" t="s">
        <v>185</v>
      </c>
      <c r="B153" s="31">
        <v>0.42</v>
      </c>
      <c r="C153" s="31"/>
      <c r="D153" s="31"/>
      <c r="E153" s="32"/>
    </row>
    <row r="154" spans="1:5" ht="29.25">
      <c r="A154" s="30" t="s">
        <v>42</v>
      </c>
      <c r="B154" s="31">
        <v>0.85</v>
      </c>
      <c r="C154" s="31"/>
      <c r="D154" s="31"/>
      <c r="E154" s="32"/>
    </row>
    <row r="155" spans="1:5" ht="15.75">
      <c r="A155" s="30" t="s">
        <v>95</v>
      </c>
      <c r="B155" s="31">
        <v>0.83</v>
      </c>
      <c r="C155" s="31"/>
      <c r="D155" s="31"/>
      <c r="E155" s="32"/>
    </row>
    <row r="156" spans="1:5" ht="15.75">
      <c r="A156" s="30" t="s">
        <v>96</v>
      </c>
      <c r="B156" s="31">
        <v>0.92</v>
      </c>
      <c r="C156" s="31"/>
      <c r="D156" s="31"/>
      <c r="E156" s="32"/>
    </row>
    <row r="157" spans="1:5" ht="29.25">
      <c r="A157" s="30" t="s">
        <v>186</v>
      </c>
      <c r="B157" s="31">
        <v>0.48</v>
      </c>
      <c r="C157" s="31"/>
      <c r="D157" s="31"/>
      <c r="E157" s="32"/>
    </row>
    <row r="158" spans="1:5" ht="29.25">
      <c r="A158" s="30" t="s">
        <v>43</v>
      </c>
      <c r="B158" s="31">
        <v>0.76</v>
      </c>
      <c r="C158" s="31"/>
      <c r="D158" s="31"/>
      <c r="E158" s="32"/>
    </row>
    <row r="159" spans="1:5" ht="29.25">
      <c r="A159" s="30" t="s">
        <v>44</v>
      </c>
      <c r="B159" s="31">
        <v>0.88</v>
      </c>
      <c r="C159" s="31"/>
      <c r="D159" s="31"/>
      <c r="E159" s="32"/>
    </row>
    <row r="160" spans="1:5" ht="29.25">
      <c r="A160" s="30" t="s">
        <v>187</v>
      </c>
      <c r="B160" s="31">
        <v>0.34</v>
      </c>
      <c r="C160" s="31"/>
      <c r="D160" s="31"/>
      <c r="E160" s="32"/>
    </row>
    <row r="161" spans="1:5" ht="15.75">
      <c r="A161" s="30" t="s">
        <v>45</v>
      </c>
      <c r="B161" s="31">
        <v>0.85</v>
      </c>
      <c r="C161" s="31"/>
      <c r="D161" s="31"/>
      <c r="E161" s="32"/>
    </row>
    <row r="162" spans="1:5" ht="15.75">
      <c r="A162" s="30" t="s">
        <v>97</v>
      </c>
      <c r="B162" s="31">
        <v>0.75</v>
      </c>
      <c r="C162" s="31"/>
      <c r="D162" s="31"/>
      <c r="E162" s="32"/>
    </row>
    <row r="163" spans="1:5" ht="15.75">
      <c r="A163" s="30" t="s">
        <v>188</v>
      </c>
      <c r="B163" s="31">
        <v>0.35</v>
      </c>
      <c r="C163" s="31"/>
      <c r="D163" s="31"/>
      <c r="E163" s="32"/>
    </row>
    <row r="164" spans="1:5" ht="15.75">
      <c r="A164" s="30" t="s">
        <v>189</v>
      </c>
      <c r="B164" s="31">
        <v>0.69</v>
      </c>
      <c r="C164" s="31"/>
      <c r="D164" s="31"/>
      <c r="E164" s="32"/>
    </row>
    <row r="165" spans="1:5" ht="15.75">
      <c r="A165" s="30" t="s">
        <v>46</v>
      </c>
      <c r="B165" s="31">
        <v>0.96</v>
      </c>
      <c r="C165" s="31"/>
      <c r="D165" s="31"/>
      <c r="E165" s="32"/>
    </row>
    <row r="166" spans="1:5" ht="29.25">
      <c r="A166" s="30" t="s">
        <v>47</v>
      </c>
      <c r="B166" s="31">
        <v>0.92</v>
      </c>
      <c r="C166" s="31"/>
      <c r="D166" s="31"/>
      <c r="E166" s="32"/>
    </row>
    <row r="167" spans="1:5" ht="15.75">
      <c r="A167" s="30" t="s">
        <v>190</v>
      </c>
      <c r="B167" s="31">
        <v>0.43</v>
      </c>
      <c r="C167" s="31"/>
      <c r="D167" s="31"/>
      <c r="E167" s="32"/>
    </row>
    <row r="168" spans="1:5" ht="15.75">
      <c r="A168" s="30" t="s">
        <v>191</v>
      </c>
      <c r="B168" s="31">
        <v>0.7</v>
      </c>
      <c r="C168" s="31"/>
      <c r="D168" s="31"/>
      <c r="E168" s="32"/>
    </row>
    <row r="169" spans="1:5" ht="15.75">
      <c r="A169" s="30" t="s">
        <v>192</v>
      </c>
      <c r="B169" s="31">
        <v>0.47</v>
      </c>
      <c r="C169" s="31"/>
      <c r="D169" s="31"/>
      <c r="E169" s="32"/>
    </row>
    <row r="170" spans="1:5" ht="15.75">
      <c r="A170" s="30" t="s">
        <v>99</v>
      </c>
      <c r="B170" s="31">
        <v>0.73</v>
      </c>
      <c r="C170" s="31"/>
      <c r="D170" s="31"/>
      <c r="E170" s="32"/>
    </row>
    <row r="171" spans="1:5" ht="29.25">
      <c r="A171" s="30" t="s">
        <v>193</v>
      </c>
      <c r="B171" s="31">
        <v>0.53</v>
      </c>
      <c r="C171" s="31"/>
      <c r="D171" s="31"/>
      <c r="E171" s="32"/>
    </row>
    <row r="172" spans="1:5" ht="15.75">
      <c r="A172" s="30" t="s">
        <v>194</v>
      </c>
      <c r="B172" s="31">
        <v>0.53</v>
      </c>
      <c r="C172" s="31"/>
      <c r="D172" s="31"/>
      <c r="E172" s="32"/>
    </row>
    <row r="173" spans="1:5" ht="15.75">
      <c r="A173" s="30" t="s">
        <v>195</v>
      </c>
      <c r="B173" s="31">
        <v>0.82</v>
      </c>
      <c r="C173" s="31"/>
      <c r="D173" s="31"/>
      <c r="E173" s="32"/>
    </row>
    <row r="174" spans="1:5" ht="43.5">
      <c r="A174" s="30" t="s">
        <v>196</v>
      </c>
      <c r="B174" s="31">
        <v>0.79</v>
      </c>
      <c r="C174" s="31"/>
      <c r="D174" s="31"/>
      <c r="E174" s="32"/>
    </row>
    <row r="175" spans="1:5" ht="15.75">
      <c r="A175" s="30" t="s">
        <v>101</v>
      </c>
      <c r="B175" s="31">
        <v>0.67</v>
      </c>
      <c r="C175" s="31"/>
      <c r="D175" s="31"/>
      <c r="E175" s="32"/>
    </row>
    <row r="176" spans="1:5" ht="15.75">
      <c r="A176" s="30" t="s">
        <v>48</v>
      </c>
      <c r="B176" s="31">
        <v>0.8</v>
      </c>
      <c r="C176" s="31"/>
      <c r="D176" s="31"/>
      <c r="E176" s="32"/>
    </row>
    <row r="177" spans="1:5" ht="29.25">
      <c r="A177" s="30" t="s">
        <v>197</v>
      </c>
      <c r="B177" s="31">
        <v>0.74</v>
      </c>
      <c r="C177" s="31"/>
      <c r="D177" s="31"/>
      <c r="E177" s="32"/>
    </row>
    <row r="178" spans="1:5" ht="15.75">
      <c r="A178" s="30" t="s">
        <v>198</v>
      </c>
      <c r="B178" s="31">
        <v>0.61</v>
      </c>
      <c r="C178" s="31"/>
      <c r="D178" s="31"/>
      <c r="E178" s="32"/>
    </row>
    <row r="179" spans="1:5" ht="15.75">
      <c r="A179" s="30" t="s">
        <v>199</v>
      </c>
      <c r="B179" s="31">
        <v>0.47</v>
      </c>
      <c r="C179" s="31"/>
      <c r="D179" s="31"/>
      <c r="E179" s="32"/>
    </row>
    <row r="180" spans="1:5" ht="15.75">
      <c r="A180" s="30" t="s">
        <v>50</v>
      </c>
      <c r="B180" s="31">
        <v>0.79</v>
      </c>
      <c r="C180" s="31"/>
      <c r="D180" s="31"/>
      <c r="E180" s="32"/>
    </row>
    <row r="181" spans="1:5" ht="43.5">
      <c r="A181" s="30" t="s">
        <v>49</v>
      </c>
      <c r="B181" s="31">
        <v>0.86</v>
      </c>
      <c r="C181" s="31"/>
      <c r="D181" s="31"/>
      <c r="E181" s="32"/>
    </row>
    <row r="182" spans="1:5" ht="29.25">
      <c r="A182" s="30" t="s">
        <v>14</v>
      </c>
      <c r="B182" s="31">
        <v>0.93</v>
      </c>
      <c r="C182" s="31"/>
      <c r="D182" s="31"/>
      <c r="E182" s="32"/>
    </row>
    <row r="183" spans="1:5" ht="29.25">
      <c r="A183" s="30" t="s">
        <v>51</v>
      </c>
      <c r="B183" s="31">
        <v>0.91</v>
      </c>
      <c r="C183" s="31"/>
      <c r="D183" s="31"/>
      <c r="E183" s="32"/>
    </row>
    <row r="184" spans="1:5" ht="15.75">
      <c r="A184" s="30" t="s">
        <v>102</v>
      </c>
      <c r="B184" s="31">
        <v>0.77</v>
      </c>
      <c r="C184" s="31"/>
      <c r="D184" s="31"/>
      <c r="E184" s="32"/>
    </row>
    <row r="185" spans="1:5" ht="29.25">
      <c r="A185" s="30" t="s">
        <v>200</v>
      </c>
      <c r="B185" s="31">
        <v>0.74</v>
      </c>
      <c r="C185" s="31"/>
      <c r="D185" s="31"/>
      <c r="E185" s="32"/>
    </row>
    <row r="186" spans="1:5" ht="15.75">
      <c r="A186" s="30" t="s">
        <v>201</v>
      </c>
      <c r="B186" s="31">
        <v>0.56000000000000005</v>
      </c>
      <c r="C186" s="31"/>
      <c r="D186" s="31"/>
      <c r="E186" s="32"/>
    </row>
    <row r="187" spans="1:5" ht="29.25">
      <c r="A187" s="30" t="s">
        <v>103</v>
      </c>
      <c r="B187" s="31">
        <v>0.73</v>
      </c>
      <c r="C187" s="31"/>
      <c r="D187" s="31"/>
      <c r="E187" s="32"/>
    </row>
    <row r="188" spans="1:5" ht="15.75">
      <c r="A188" s="30" t="s">
        <v>202</v>
      </c>
      <c r="B188" s="31">
        <v>0.36</v>
      </c>
      <c r="C188" s="31"/>
      <c r="D188" s="31"/>
      <c r="E188" s="32"/>
    </row>
    <row r="189" spans="1:5" ht="15.75">
      <c r="A189" s="30" t="s">
        <v>203</v>
      </c>
      <c r="B189" s="31">
        <v>0.54</v>
      </c>
      <c r="C189" s="31"/>
      <c r="D189" s="31"/>
      <c r="E189" s="32"/>
    </row>
    <row r="190" spans="1:5" ht="29.25">
      <c r="A190" s="33" t="s">
        <v>204</v>
      </c>
      <c r="B190" s="34">
        <v>0.63</v>
      </c>
      <c r="C190" s="34"/>
      <c r="D190" s="34"/>
      <c r="E190" s="35"/>
    </row>
  </sheetData>
  <hyperlinks>
    <hyperlink ref="A2" r:id="rId1" xr:uid="{004EC7E8-2E9F-41D6-9487-50BC07EEC7D9}"/>
    <hyperlink ref="A3" r:id="rId2" xr:uid="{35A3B469-84B7-4272-BF39-2CEA92239811}"/>
    <hyperlink ref="A4" r:id="rId3" xr:uid="{C50759DC-D0C4-400B-9CF9-68CF0123A09E}"/>
    <hyperlink ref="A5" r:id="rId4" xr:uid="{E1512874-4863-4F31-960D-1599225D40F7}"/>
    <hyperlink ref="A6" r:id="rId5" xr:uid="{47D38B32-F98A-4183-85B5-E4D2A61880C0}"/>
    <hyperlink ref="A7" r:id="rId6" xr:uid="{71C1D873-8FB0-4D2C-8466-2094CC0E22D1}"/>
    <hyperlink ref="A8" r:id="rId7" xr:uid="{1B53C6F8-5059-4276-828E-2E92676A7B57}"/>
    <hyperlink ref="A9" r:id="rId8" xr:uid="{59C6DBC4-F47A-4EAF-8192-A98B76BF7719}"/>
    <hyperlink ref="A10" r:id="rId9" xr:uid="{C3FA765F-BCC5-44CF-8F7F-1A5F78059DCA}"/>
    <hyperlink ref="A11" r:id="rId10" xr:uid="{8B8AEAEA-7637-4EAD-BAD9-00D5C91BAF11}"/>
    <hyperlink ref="A12" r:id="rId11" xr:uid="{D6BBB888-A042-4A65-947C-F74E7E9F3AE3}"/>
    <hyperlink ref="A13" r:id="rId12" xr:uid="{5863EBC0-084D-4ABE-B409-AFB62DB03911}"/>
    <hyperlink ref="A14" r:id="rId13" xr:uid="{0B11CD51-AD43-442A-9BC7-9C7F95EC856B}"/>
    <hyperlink ref="A15" r:id="rId14" xr:uid="{A6219D5D-ADD0-48E7-B4A0-D0567FE2D3F7}"/>
    <hyperlink ref="A16" r:id="rId15" xr:uid="{82AD884D-ABB4-48B5-86D9-05C978E072F4}"/>
    <hyperlink ref="A17" r:id="rId16" xr:uid="{57D96DA3-E7D6-4964-8D69-F720A6C45E72}"/>
    <hyperlink ref="A18" r:id="rId17" xr:uid="{9928DEA3-A809-4341-8677-467119B0DFDD}"/>
    <hyperlink ref="A19" r:id="rId18" xr:uid="{E2E038A6-03CF-4179-9820-DEF426A4DF09}"/>
    <hyperlink ref="A20" r:id="rId19" xr:uid="{064D10E2-5C65-42C8-9472-1B6DA2F935E0}"/>
    <hyperlink ref="A21" r:id="rId20" xr:uid="{07C5F32B-8E1E-47BC-AC23-5A3E2A8E26B4}"/>
    <hyperlink ref="A22" r:id="rId21" xr:uid="{50019417-B685-4D15-AB06-06D972BBB03C}"/>
    <hyperlink ref="A23" r:id="rId22" xr:uid="{F68BEACC-4658-42A4-9672-76C02E1D8CD7}"/>
    <hyperlink ref="A24" r:id="rId23" xr:uid="{A3745E8A-8F04-42C7-8DC5-9EECA4FAB59D}"/>
    <hyperlink ref="A25" r:id="rId24" xr:uid="{0CDDBD8A-3B01-4118-8137-EEBC42004511}"/>
    <hyperlink ref="A26" r:id="rId25" xr:uid="{4C41A81E-097E-4FDA-B191-2450F73D63C3}"/>
    <hyperlink ref="A27" r:id="rId26" xr:uid="{F363250A-F275-4503-9CB6-DCED54183702}"/>
    <hyperlink ref="A28" r:id="rId27" xr:uid="{A31DE0FC-AF65-4746-B62A-DA8053CB8201}"/>
    <hyperlink ref="A29" r:id="rId28" xr:uid="{B215CA52-1DDB-44BD-944E-39493D00DD3B}"/>
    <hyperlink ref="A30" r:id="rId29" xr:uid="{3CC66D61-02B3-4DE8-839D-AE00F12EA899}"/>
    <hyperlink ref="A31" r:id="rId30" xr:uid="{256D8FE9-03A4-4EB2-9C8D-2DE00CF74815}"/>
    <hyperlink ref="A32" r:id="rId31" xr:uid="{599FA2A8-2D42-4D50-93B3-0B6C61C6A73A}"/>
    <hyperlink ref="A33" r:id="rId32" xr:uid="{CC7CAE45-9145-49C7-81DE-CEF1721C2340}"/>
    <hyperlink ref="A34" r:id="rId33" xr:uid="{403AD23B-C18E-40B7-8602-8C3D5AA7C52E}"/>
    <hyperlink ref="A35" r:id="rId34" xr:uid="{2DF83BAE-9111-4EC9-B284-65F7607DB350}"/>
    <hyperlink ref="A36" r:id="rId35" xr:uid="{E4BF35FA-4C9F-424A-8EC3-B197CC276A09}"/>
    <hyperlink ref="A37" r:id="rId36" xr:uid="{17ED1759-EC0A-4D3D-802F-F28043A35C00}"/>
    <hyperlink ref="A38" r:id="rId37" xr:uid="{71D1F5C2-907A-477A-8718-0981E40413F3}"/>
    <hyperlink ref="A39" r:id="rId38" xr:uid="{3FE353AF-F8FA-4765-A48D-ACEE2F6EAE9D}"/>
    <hyperlink ref="A40" r:id="rId39" xr:uid="{49CECCA9-A556-4AA7-8E3E-863D0C42D4FE}"/>
    <hyperlink ref="A41" r:id="rId40" xr:uid="{0DCC677E-D87B-4522-BBE7-82320B1932EF}"/>
    <hyperlink ref="A42" r:id="rId41" xr:uid="{1A7FE48E-4AAA-45DD-B8FC-FB59940E92CF}"/>
    <hyperlink ref="A43" r:id="rId42" xr:uid="{218098ED-1303-4383-B2CE-BA836ABC21F5}"/>
    <hyperlink ref="A44" r:id="rId43" xr:uid="{23B07284-AC41-402E-8B70-02D66F5F6924}"/>
    <hyperlink ref="A45" r:id="rId44" xr:uid="{04A59E7B-2007-4BF0-B24A-867E015A539A}"/>
    <hyperlink ref="A46" r:id="rId45" xr:uid="{EB365B8D-E08E-4235-AD2E-9E4264C8A659}"/>
    <hyperlink ref="A47" r:id="rId46" xr:uid="{530215D3-67A1-414D-A5D0-05D2B0B67F6F}"/>
    <hyperlink ref="A48" r:id="rId47" xr:uid="{5A3B0256-E2E4-4807-993A-F92CA000990E}"/>
    <hyperlink ref="A49" r:id="rId48" xr:uid="{9DE33AD2-634A-4C45-9A38-68BF939B4163}"/>
    <hyperlink ref="A50" r:id="rId49" xr:uid="{82C0C252-A8A3-4815-A975-F907C96B02C5}"/>
    <hyperlink ref="A51" r:id="rId50" xr:uid="{C2963EEA-2CC5-4ED7-89D0-AD64193E45BE}"/>
    <hyperlink ref="A52" r:id="rId51" xr:uid="{F9F3F771-D5AF-4E14-A349-D7C3CBF3CCFA}"/>
    <hyperlink ref="A53" r:id="rId52" xr:uid="{B1FAB8C6-C43A-4F6C-926E-248FB9892BD2}"/>
    <hyperlink ref="A54" r:id="rId53" xr:uid="{6D83A8A4-916D-4313-89B5-63D427F017BC}"/>
    <hyperlink ref="A55" r:id="rId54" xr:uid="{58ED4BA8-2FDB-4AD2-A9B0-7F2614C604DD}"/>
    <hyperlink ref="A56" r:id="rId55" xr:uid="{904E16E1-BFC9-43A2-B93D-5296F7E654DF}"/>
    <hyperlink ref="A57" r:id="rId56" xr:uid="{DC95A41E-5E8B-4B9F-8861-792A09862576}"/>
    <hyperlink ref="A58" r:id="rId57" xr:uid="{E9A672C7-3028-4A65-8226-CE017EF9DAC8}"/>
    <hyperlink ref="A59" r:id="rId58" xr:uid="{3134341D-78C5-4D31-88DB-D1D8B1DDBD7F}"/>
    <hyperlink ref="A60" r:id="rId59" xr:uid="{7D4FAA57-0134-4F4F-858F-98EFB3101E04}"/>
    <hyperlink ref="A61" r:id="rId60" xr:uid="{642BEECF-B425-439A-998F-CC937E882B74}"/>
    <hyperlink ref="A62" r:id="rId61" xr:uid="{B84252CE-C898-4333-AA18-E853EFECF1F4}"/>
    <hyperlink ref="A63" r:id="rId62" xr:uid="{FEF60353-20A3-45D0-BA67-685EAEB493EC}"/>
    <hyperlink ref="A64" r:id="rId63" xr:uid="{097374FE-1888-441B-8911-8AC99BB3162F}"/>
    <hyperlink ref="A65" r:id="rId64" xr:uid="{BCD316EF-2A4B-4DDF-BF48-3E78C726DC36}"/>
    <hyperlink ref="A66" r:id="rId65" xr:uid="{95442335-A9F2-452B-86BF-C48C0ED5F48D}"/>
    <hyperlink ref="A67" r:id="rId66" xr:uid="{3F18160E-3938-4BCA-9ED9-242F99B1583C}"/>
    <hyperlink ref="A68" r:id="rId67" xr:uid="{D4D9B5E4-2D9A-4A92-A34E-62FE3E13B745}"/>
    <hyperlink ref="A69" r:id="rId68" xr:uid="{BC8418A0-A7A1-4DFC-A4A2-B707F6F07435}"/>
    <hyperlink ref="A70" r:id="rId69" xr:uid="{8D71BFB4-B177-4562-8C66-834FE1B713A6}"/>
    <hyperlink ref="A71" r:id="rId70" xr:uid="{DE48245B-78EB-4E8F-97F8-A0C408D77CD6}"/>
    <hyperlink ref="A72" r:id="rId71" xr:uid="{C5454FC2-0A3E-40F1-A82D-27B1BA44C49E}"/>
    <hyperlink ref="A73" r:id="rId72" xr:uid="{94A7135A-BCA2-49B3-9569-8D7E2ADD214C}"/>
    <hyperlink ref="A74" r:id="rId73" xr:uid="{A90957A3-2BC8-40C3-BD35-ADFDBA1A1284}"/>
    <hyperlink ref="A75" r:id="rId74" xr:uid="{0CE0AE57-0B2F-40EF-85A3-3316E96ADD12}"/>
    <hyperlink ref="A76" r:id="rId75" xr:uid="{F8E7105F-BC3B-40C8-8BED-543BD25307BF}"/>
    <hyperlink ref="A77" r:id="rId76" xr:uid="{797C757B-FF4B-46A5-8195-06A83C1BB306}"/>
    <hyperlink ref="A78" r:id="rId77" xr:uid="{D3A0174D-71F6-4BA6-89B8-A5C14D73985D}"/>
    <hyperlink ref="A79" r:id="rId78" xr:uid="{D8E93685-2326-4BBC-9BD9-18BD8BE1D74F}"/>
    <hyperlink ref="A80" r:id="rId79" xr:uid="{04CF06DD-05E8-47A1-9EDA-BAF3205EB936}"/>
    <hyperlink ref="A81" r:id="rId80" xr:uid="{018F3209-F65A-40EB-A2D7-E0982029399A}"/>
    <hyperlink ref="A82" r:id="rId81" xr:uid="{20ED6ACB-DE83-4272-80E9-045F9AAF1C03}"/>
    <hyperlink ref="A83" r:id="rId82" xr:uid="{E794E5FE-C9FB-4FF9-9DA0-1F8ED817994A}"/>
    <hyperlink ref="A84" r:id="rId83" xr:uid="{C142BEE3-E00F-4CB0-B508-4AFB4E35796A}"/>
    <hyperlink ref="A85" r:id="rId84" xr:uid="{E08C34A0-C9B7-4DAE-9107-114E5E0C56EC}"/>
    <hyperlink ref="A86" r:id="rId85" xr:uid="{DC70DB68-1763-4137-BD49-1B547FA1DD64}"/>
    <hyperlink ref="A87" r:id="rId86" xr:uid="{F5320C76-4324-486D-8B67-03154AD0701C}"/>
    <hyperlink ref="A88" r:id="rId87" xr:uid="{9B369D06-4D8B-4DDB-9AEB-3C6C518E920B}"/>
    <hyperlink ref="A89" r:id="rId88" xr:uid="{C7ABD5D0-0D74-4AA7-A611-799F2DEE4E2C}"/>
    <hyperlink ref="A90" r:id="rId89" xr:uid="{9D54A23E-3EE4-4F1F-AC4E-65F437A295E6}"/>
    <hyperlink ref="A91" r:id="rId90" xr:uid="{0785D3CE-C912-4D4B-9E17-BCFD17F6D55D}"/>
    <hyperlink ref="A92" r:id="rId91" xr:uid="{47AA1833-F5D7-4BF0-9E7F-CB790D1BD9C1}"/>
    <hyperlink ref="A93" r:id="rId92" xr:uid="{0689249E-E2F7-43B8-A150-15D19A6D9FFB}"/>
    <hyperlink ref="A94" r:id="rId93" xr:uid="{78DBB376-B4A3-4C65-827A-2AFBE4C865A1}"/>
    <hyperlink ref="A95" r:id="rId94" xr:uid="{9916F592-6A2D-4F7A-8F95-F492393C9B5F}"/>
    <hyperlink ref="A96" r:id="rId95" xr:uid="{64BEE09F-924F-4646-8B2A-5DF333DAB991}"/>
    <hyperlink ref="A97" r:id="rId96" xr:uid="{E328C959-99FD-42F4-BA81-FE7A3B59545D}"/>
    <hyperlink ref="A98" r:id="rId97" xr:uid="{0515ECDB-1F28-4896-9AB8-D718E37C6E5C}"/>
    <hyperlink ref="A99" r:id="rId98" xr:uid="{0C699506-6203-48AA-8026-CA18C44C2B37}"/>
    <hyperlink ref="A100" r:id="rId99" xr:uid="{C48A9971-DAEC-417F-8B4C-82659B6D58B1}"/>
    <hyperlink ref="A101" r:id="rId100" xr:uid="{9231C757-5CCB-4E67-941C-2BAFEBC32DFB}"/>
    <hyperlink ref="A102" r:id="rId101" xr:uid="{C855DA61-3C9F-4D18-BF5D-45CC5129F378}"/>
    <hyperlink ref="A103" r:id="rId102" xr:uid="{A09A5DBA-483E-4C62-8E9B-3030AF92D5FB}"/>
    <hyperlink ref="A104" r:id="rId103" xr:uid="{BF5D4E35-2FAC-493F-A433-639616FCB8A6}"/>
    <hyperlink ref="A105" r:id="rId104" xr:uid="{DB7333FB-31EC-4C9A-BA49-05FB67A96A9E}"/>
    <hyperlink ref="A106" r:id="rId105" xr:uid="{AAFBBE4B-9435-4A22-8552-4C235AF6EAE2}"/>
    <hyperlink ref="A107" r:id="rId106" xr:uid="{10334ED4-63DA-47E1-B7DE-ED35D483C210}"/>
    <hyperlink ref="A108" r:id="rId107" xr:uid="{61D45C08-930B-4ABA-A115-F8CEFAB4FFC7}"/>
    <hyperlink ref="A109" r:id="rId108" xr:uid="{209EDEF8-3FD4-465A-8DB4-883FC8C22FA5}"/>
    <hyperlink ref="A110" r:id="rId109" xr:uid="{357F4295-C287-4A97-9DC6-D2CDB3B5D940}"/>
    <hyperlink ref="A111" r:id="rId110" xr:uid="{35EB6398-0DA2-4499-B2A8-168467E31F59}"/>
    <hyperlink ref="A112" r:id="rId111" xr:uid="{0BA199BA-B5D9-4516-9561-517EACDC3F56}"/>
    <hyperlink ref="A113" r:id="rId112" xr:uid="{A96AA91E-1CF0-46B6-9B90-9C301064B7B6}"/>
    <hyperlink ref="A114" r:id="rId113" xr:uid="{C0D18108-3276-4A97-BA18-A7B87F1E4881}"/>
    <hyperlink ref="A115" r:id="rId114" xr:uid="{3B8209CE-1FD7-4CDD-9B3A-8F26CD3F1AEE}"/>
    <hyperlink ref="A116" r:id="rId115" xr:uid="{D8E1F4BF-6E56-4DCA-9304-8FE192F36245}"/>
    <hyperlink ref="A117" r:id="rId116" xr:uid="{5FAC6BB9-9B10-420E-9FF1-39DFC16DD65A}"/>
    <hyperlink ref="A118" r:id="rId117" xr:uid="{22C54448-535C-44FD-AFB3-12C2B5A3D120}"/>
    <hyperlink ref="A119" r:id="rId118" xr:uid="{403D11CA-043F-44B0-8D3B-305005F4AF64}"/>
    <hyperlink ref="A120" r:id="rId119" xr:uid="{3D6D65D2-C114-46AB-8E3C-A447B4B4E06F}"/>
    <hyperlink ref="A121" r:id="rId120" xr:uid="{74C901EB-AB7F-4FA3-B963-2D21C9F0D2D9}"/>
    <hyperlink ref="A122" r:id="rId121" xr:uid="{2CA9708D-CC98-44D6-8C46-EF6050A9F1C0}"/>
    <hyperlink ref="A123" r:id="rId122" xr:uid="{7479CCFA-72C7-4925-971C-22D048C6C1F6}"/>
    <hyperlink ref="A124" r:id="rId123" xr:uid="{776B8F1C-70F8-47F8-B115-CE6AF18C0AEE}"/>
    <hyperlink ref="A125" r:id="rId124" xr:uid="{DA3139EC-B4B7-4AF2-9142-8BD52E41585D}"/>
    <hyperlink ref="A126" r:id="rId125" xr:uid="{60D8EFB2-B571-4E95-87D5-2635540142D5}"/>
    <hyperlink ref="A127" r:id="rId126" xr:uid="{13377F7E-F568-4DE3-A2A3-24AC33C37D49}"/>
    <hyperlink ref="A128" r:id="rId127" xr:uid="{F9656E3F-81BB-4734-BAD8-3A04BEC0B56C}"/>
    <hyperlink ref="A129" r:id="rId128" xr:uid="{0A179472-7697-4260-9BDE-5B8FC2089412}"/>
    <hyperlink ref="A130" r:id="rId129" xr:uid="{4A50B436-FCFE-4EE4-A03A-EE47963DB77E}"/>
    <hyperlink ref="A131" r:id="rId130" xr:uid="{9D2FCB1F-BC24-40A2-B357-5051100EB3A2}"/>
    <hyperlink ref="A132" r:id="rId131" xr:uid="{3EF0694E-3EB1-41F0-9FDA-0881AD7144D1}"/>
    <hyperlink ref="A133" r:id="rId132" xr:uid="{25DCD461-3DD6-4770-8221-AC1308E83989}"/>
    <hyperlink ref="A134" r:id="rId133" xr:uid="{645229AA-29D6-4B35-8747-2DC6D1C5FC4C}"/>
    <hyperlink ref="A135" r:id="rId134" xr:uid="{1D8CAFAE-CB61-40F3-98C7-4569A2F06BC4}"/>
    <hyperlink ref="A136" r:id="rId135" xr:uid="{306A50EB-B214-403B-8491-D4E2A27FFDB6}"/>
    <hyperlink ref="A137" r:id="rId136" xr:uid="{1F66ACB0-C157-4F5F-A9D7-0172732FD2C9}"/>
    <hyperlink ref="A138" r:id="rId137" xr:uid="{27A09EF1-E210-4A02-954F-692636AB6486}"/>
    <hyperlink ref="A139" r:id="rId138" xr:uid="{E8AC0A6E-2F31-40BA-A3E6-66D73A3A74F1}"/>
    <hyperlink ref="A140" r:id="rId139" xr:uid="{0CD30E00-D9EB-4AC4-BB0C-F5AD2BDFE28D}"/>
    <hyperlink ref="A141" r:id="rId140" xr:uid="{F3132027-347A-47F3-B597-832FF85D7624}"/>
    <hyperlink ref="A142" r:id="rId141" xr:uid="{A5A51285-7EB4-4F31-87FF-41DC84297169}"/>
    <hyperlink ref="A143" r:id="rId142" xr:uid="{DD655213-218D-4BC5-9F74-C4CFE541C0EF}"/>
    <hyperlink ref="A144" r:id="rId143" xr:uid="{6363FF82-9918-486B-953A-5B12A6F1BC7C}"/>
    <hyperlink ref="A145" r:id="rId144" xr:uid="{1E10B63F-8C37-4418-8AF7-C1BF4EDE1D1C}"/>
    <hyperlink ref="A146" r:id="rId145" xr:uid="{923D3390-9C3A-4DA5-BF5C-D2FE02054E2A}"/>
    <hyperlink ref="A147" r:id="rId146" xr:uid="{1527A3C6-7610-4B51-A4E0-D8BE1D50EA75}"/>
    <hyperlink ref="A148" r:id="rId147" xr:uid="{1BA537F6-431F-4C3F-B280-F63962544BD6}"/>
    <hyperlink ref="A149" r:id="rId148" xr:uid="{ED680094-4EE5-4A64-94ED-B113EA99D6BF}"/>
    <hyperlink ref="A150" r:id="rId149" xr:uid="{DC5E7BF2-1011-4AA6-80FA-9B66BEAD2326}"/>
    <hyperlink ref="A151" r:id="rId150" xr:uid="{B65839D7-F986-4516-8804-2F7F01FB4828}"/>
    <hyperlink ref="A152" r:id="rId151" xr:uid="{78B1AA56-69D2-485C-9F77-BC0D30679997}"/>
    <hyperlink ref="A153" r:id="rId152" xr:uid="{9A28CD38-FDAE-4225-ACC6-FE0450064494}"/>
    <hyperlink ref="A154" r:id="rId153" xr:uid="{22B4F2F5-7F84-4A13-A463-366742834C6C}"/>
    <hyperlink ref="A155" r:id="rId154" xr:uid="{3C9A19BF-4551-452A-BEA9-795D9E6A6557}"/>
    <hyperlink ref="A156" r:id="rId155" xr:uid="{CD8B915A-7173-4A90-B91F-2EC0F85992A4}"/>
    <hyperlink ref="A157" r:id="rId156" xr:uid="{013B2F8A-F927-48BA-8D4A-34AD84B9855E}"/>
    <hyperlink ref="A158" r:id="rId157" xr:uid="{AC7593AE-195F-42F2-B9AE-C828682B7DF5}"/>
    <hyperlink ref="A159" r:id="rId158" xr:uid="{A8390D84-182F-4AC5-8182-4B7351AA35D8}"/>
    <hyperlink ref="A160" r:id="rId159" xr:uid="{00479107-AAC2-4AA9-B7AC-045045FC50B5}"/>
    <hyperlink ref="A161" r:id="rId160" xr:uid="{3FF8E595-27CB-43EA-BC30-98E8227236FE}"/>
    <hyperlink ref="A162" r:id="rId161" xr:uid="{A0BB05FA-6D1F-4DA5-A20A-F90D85007DD8}"/>
    <hyperlink ref="A163" r:id="rId162" xr:uid="{24E21B58-E436-4D11-9090-69B88F2972BC}"/>
    <hyperlink ref="A164" r:id="rId163" xr:uid="{E9775679-0422-4AA6-8735-05CEBC384FE9}"/>
    <hyperlink ref="A165" r:id="rId164" xr:uid="{21D8303C-69A3-49A6-892F-C053B37A558A}"/>
    <hyperlink ref="A166" r:id="rId165" xr:uid="{7D16F411-A7C0-4B28-982C-8A8625AD3C0B}"/>
    <hyperlink ref="A167" r:id="rId166" xr:uid="{5D6553FC-805B-471A-A78B-E16231280E42}"/>
    <hyperlink ref="A168" r:id="rId167" xr:uid="{C2E5AEEA-D0E7-4117-A9D3-11D2E857795F}"/>
    <hyperlink ref="A169" r:id="rId168" xr:uid="{BA79A61E-9A75-4562-9A5F-2DD0A7EB8F3E}"/>
    <hyperlink ref="A170" r:id="rId169" xr:uid="{61275EE8-4BD4-4EA4-B1B1-27AF1C67EE00}"/>
    <hyperlink ref="A171" r:id="rId170" xr:uid="{02E4B3C1-DC0F-4264-95AC-B06F15485335}"/>
    <hyperlink ref="A172" r:id="rId171" xr:uid="{CEE42AD9-366D-48E4-BFD2-74BA4D00DAEE}"/>
    <hyperlink ref="A173" r:id="rId172" xr:uid="{0A385A20-A8C3-4AE7-BABC-28FFBD9C5204}"/>
    <hyperlink ref="A174" r:id="rId173" xr:uid="{D941C12C-9DA2-421C-A6A2-9B132FE71337}"/>
    <hyperlink ref="A175" r:id="rId174" xr:uid="{CCE4D2FD-E013-454A-9114-29AC4BF1E2CE}"/>
    <hyperlink ref="A176" r:id="rId175" xr:uid="{9A41CF3B-4F99-4427-AC31-79028C583B4E}"/>
    <hyperlink ref="A177" r:id="rId176" xr:uid="{B34B1F38-471D-49E1-BFD4-318397FBB653}"/>
    <hyperlink ref="A178" r:id="rId177" xr:uid="{7FC34F83-473D-4047-B415-E537C9D1F5DE}"/>
    <hyperlink ref="A179" r:id="rId178" xr:uid="{F376350B-3EE2-42F7-AAA6-CC203F4A0943}"/>
    <hyperlink ref="A180" r:id="rId179" xr:uid="{00022F2F-ACDF-4B67-AE64-55039DD208BA}"/>
    <hyperlink ref="A181" r:id="rId180" xr:uid="{1F830CD7-3F45-429E-AE87-51E4423E5D9A}"/>
    <hyperlink ref="A182" r:id="rId181" xr:uid="{917133B6-6816-4094-A982-CAA75335AE15}"/>
    <hyperlink ref="A183" r:id="rId182" xr:uid="{5D21874C-20AF-4893-95DE-2F70D54E5651}"/>
    <hyperlink ref="A184" r:id="rId183" xr:uid="{A966ED59-F45D-4904-B8E2-BFB93C91552F}"/>
    <hyperlink ref="A185" r:id="rId184" xr:uid="{6DBB7AF3-74CD-4DC8-85D2-B94DA115D4E7}"/>
    <hyperlink ref="A186" r:id="rId185" xr:uid="{0AC561B5-4A23-4B35-AEA5-0059E65ABA04}"/>
    <hyperlink ref="A187" r:id="rId186" xr:uid="{674AB76F-2CD6-4D62-A1FB-D2DA99B75FB1}"/>
    <hyperlink ref="A188" r:id="rId187" xr:uid="{833AC021-8C32-418E-8731-B1D1C48A812E}"/>
    <hyperlink ref="A189" r:id="rId188" xr:uid="{718BF4DB-9117-43C2-AB64-43A642F857F6}"/>
    <hyperlink ref="A190" r:id="rId189" xr:uid="{16DEA28D-E5E8-45A9-B94A-6746D79DB12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89FDF-9819-439E-A9AC-EAA2EFE26211}">
  <dimension ref="A1:J254"/>
  <sheetViews>
    <sheetView topLeftCell="A171" workbookViewId="0">
      <selection activeCell="A2" sqref="A2"/>
    </sheetView>
  </sheetViews>
  <sheetFormatPr defaultRowHeight="15"/>
  <sheetData>
    <row r="1" spans="1:10" ht="76.5">
      <c r="A1" s="3" t="s">
        <v>0</v>
      </c>
      <c r="B1" s="3" t="s">
        <v>205</v>
      </c>
      <c r="F1" s="10"/>
      <c r="G1" s="12"/>
      <c r="H1" s="12"/>
      <c r="I1" s="11"/>
      <c r="J1" s="11"/>
    </row>
    <row r="2" spans="1:10" ht="29.25">
      <c r="A2" s="57" t="s">
        <v>106</v>
      </c>
      <c r="B2" s="12">
        <v>0.16200000000000001</v>
      </c>
      <c r="F2" s="13"/>
      <c r="G2" s="15"/>
      <c r="H2" s="15"/>
      <c r="I2" s="14"/>
      <c r="J2" s="14"/>
    </row>
    <row r="3" spans="1:10">
      <c r="A3" s="13" t="s">
        <v>55</v>
      </c>
      <c r="B3" s="15">
        <v>8.3000000000000004E-2</v>
      </c>
      <c r="F3" s="10"/>
      <c r="G3" s="12"/>
      <c r="H3" s="12"/>
      <c r="I3" s="11"/>
      <c r="J3" s="11"/>
    </row>
    <row r="4" spans="1:10">
      <c r="A4" s="10" t="s">
        <v>56</v>
      </c>
      <c r="B4" s="12">
        <v>9.9000000000000005E-2</v>
      </c>
      <c r="F4" s="13"/>
      <c r="G4" s="15"/>
      <c r="H4" s="15"/>
      <c r="I4" s="14"/>
      <c r="J4" s="14"/>
    </row>
    <row r="5" spans="1:10">
      <c r="A5" s="13" t="s">
        <v>107</v>
      </c>
      <c r="B5" s="15">
        <v>0.115</v>
      </c>
      <c r="F5" s="10"/>
      <c r="G5" s="12"/>
      <c r="H5" s="12"/>
      <c r="I5" s="11"/>
      <c r="J5" s="11"/>
    </row>
    <row r="6" spans="1:10">
      <c r="A6" s="10" t="s">
        <v>108</v>
      </c>
      <c r="B6" s="12">
        <v>0.26</v>
      </c>
      <c r="F6" s="13"/>
      <c r="G6" s="15"/>
      <c r="H6" s="15"/>
      <c r="I6" s="14"/>
      <c r="J6" s="14"/>
    </row>
    <row r="7" spans="1:10">
      <c r="A7" s="13" t="s">
        <v>206</v>
      </c>
      <c r="B7" s="15">
        <v>0.21199999999999999</v>
      </c>
      <c r="F7" s="10"/>
      <c r="G7" s="12"/>
      <c r="H7" s="12"/>
      <c r="I7" s="11"/>
      <c r="J7" s="11"/>
    </row>
    <row r="8" spans="1:10" ht="43.5">
      <c r="A8" s="10" t="s">
        <v>109</v>
      </c>
      <c r="B8" s="12">
        <v>0.21199999999999999</v>
      </c>
      <c r="F8" s="13"/>
      <c r="G8" s="15"/>
      <c r="H8" s="15"/>
      <c r="I8" s="14"/>
      <c r="J8" s="14"/>
    </row>
    <row r="9" spans="1:10">
      <c r="A9" s="13" t="s">
        <v>3</v>
      </c>
      <c r="B9" s="15">
        <v>0.13400000000000001</v>
      </c>
      <c r="F9" s="10"/>
      <c r="G9" s="12"/>
      <c r="H9" s="12"/>
      <c r="I9" s="11"/>
      <c r="J9" s="11"/>
    </row>
    <row r="10" spans="1:10">
      <c r="A10" s="10" t="s">
        <v>110</v>
      </c>
      <c r="B10" s="12">
        <v>0.19</v>
      </c>
      <c r="F10" s="13"/>
      <c r="G10" s="15"/>
      <c r="H10" s="15"/>
      <c r="I10" s="14"/>
      <c r="J10" s="14"/>
    </row>
    <row r="11" spans="1:10">
      <c r="A11" s="13" t="s">
        <v>207</v>
      </c>
      <c r="B11" s="15">
        <v>0.21199999999999999</v>
      </c>
      <c r="F11" s="10"/>
      <c r="G11" s="12"/>
      <c r="H11" s="12"/>
      <c r="I11" s="11"/>
      <c r="J11" s="11"/>
    </row>
    <row r="12" spans="1:10">
      <c r="A12" s="10" t="s">
        <v>4</v>
      </c>
      <c r="B12" s="12">
        <v>9.9000000000000005E-2</v>
      </c>
      <c r="F12" s="13"/>
      <c r="G12" s="15"/>
      <c r="H12" s="15"/>
      <c r="I12" s="14"/>
      <c r="J12" s="14"/>
    </row>
    <row r="13" spans="1:10">
      <c r="A13" s="13" t="s">
        <v>5</v>
      </c>
      <c r="B13" s="15">
        <v>0.107</v>
      </c>
      <c r="F13" s="10"/>
      <c r="G13" s="12"/>
      <c r="H13" s="12"/>
      <c r="I13" s="11"/>
      <c r="J13" s="11"/>
    </row>
    <row r="14" spans="1:10" ht="29.25">
      <c r="A14" s="10" t="s">
        <v>57</v>
      </c>
      <c r="B14" s="12">
        <v>0.159</v>
      </c>
      <c r="F14" s="13"/>
      <c r="G14" s="15"/>
      <c r="H14" s="15"/>
      <c r="I14" s="14"/>
      <c r="J14" s="14"/>
    </row>
    <row r="15" spans="1:10">
      <c r="A15" s="13" t="s">
        <v>111</v>
      </c>
      <c r="B15" s="15">
        <v>0.187</v>
      </c>
      <c r="F15" s="10"/>
      <c r="G15" s="12"/>
      <c r="H15" s="12"/>
      <c r="I15" s="11"/>
      <c r="J15" s="11"/>
    </row>
    <row r="16" spans="1:10">
      <c r="A16" s="10" t="s">
        <v>112</v>
      </c>
      <c r="B16" s="12">
        <v>0.24299999999999999</v>
      </c>
      <c r="F16" s="13"/>
      <c r="G16" s="15"/>
      <c r="H16" s="15"/>
      <c r="I16" s="14"/>
      <c r="J16" s="14"/>
    </row>
    <row r="17" spans="1:10" ht="29.25">
      <c r="A17" s="13" t="s">
        <v>58</v>
      </c>
      <c r="B17" s="15">
        <v>0.11600000000000001</v>
      </c>
      <c r="F17" s="10"/>
      <c r="G17" s="12"/>
      <c r="H17" s="12"/>
      <c r="I17" s="11"/>
      <c r="J17" s="11"/>
    </row>
    <row r="18" spans="1:10">
      <c r="A18" s="10" t="s">
        <v>113</v>
      </c>
      <c r="B18" s="12">
        <v>0.21199999999999999</v>
      </c>
      <c r="F18" s="13"/>
      <c r="G18" s="15"/>
      <c r="H18" s="15"/>
      <c r="I18" s="14"/>
      <c r="J18" s="14"/>
    </row>
    <row r="19" spans="1:10">
      <c r="A19" s="13" t="s">
        <v>59</v>
      </c>
      <c r="B19" s="15">
        <v>8.6999999999999994E-2</v>
      </c>
      <c r="F19" s="10"/>
      <c r="G19" s="12"/>
      <c r="H19" s="12"/>
      <c r="I19" s="11"/>
      <c r="J19" s="11"/>
    </row>
    <row r="20" spans="1:10">
      <c r="A20" s="10" t="s">
        <v>6</v>
      </c>
      <c r="B20" s="12">
        <v>7.4999999999999997E-2</v>
      </c>
      <c r="F20" s="13"/>
      <c r="G20" s="15"/>
      <c r="H20" s="15"/>
      <c r="I20" s="14"/>
      <c r="J20" s="14"/>
    </row>
    <row r="21" spans="1:10">
      <c r="A21" s="13" t="s">
        <v>114</v>
      </c>
      <c r="B21" s="15">
        <v>0.187</v>
      </c>
      <c r="F21" s="10"/>
      <c r="G21" s="12"/>
      <c r="H21" s="12"/>
      <c r="I21" s="11"/>
      <c r="J21" s="11"/>
    </row>
    <row r="22" spans="1:10">
      <c r="A22" s="10" t="s">
        <v>115</v>
      </c>
      <c r="B22" s="12">
        <v>0.14000000000000001</v>
      </c>
      <c r="F22" s="13"/>
      <c r="G22" s="15"/>
      <c r="H22" s="15"/>
      <c r="I22" s="14"/>
      <c r="J22" s="14"/>
    </row>
    <row r="23" spans="1:10">
      <c r="A23" s="13" t="s">
        <v>208</v>
      </c>
      <c r="B23" s="15">
        <v>0.161</v>
      </c>
      <c r="F23" s="10"/>
      <c r="G23" s="12"/>
      <c r="H23" s="12"/>
      <c r="I23" s="11"/>
      <c r="J23" s="11"/>
    </row>
    <row r="24" spans="1:10">
      <c r="A24" s="10" t="s">
        <v>116</v>
      </c>
      <c r="B24" s="12">
        <v>0.18099999999999999</v>
      </c>
      <c r="F24" s="13"/>
      <c r="G24" s="15"/>
      <c r="H24" s="15"/>
      <c r="I24" s="14"/>
      <c r="J24" s="14"/>
    </row>
    <row r="25" spans="1:10">
      <c r="A25" s="13" t="s">
        <v>117</v>
      </c>
      <c r="B25" s="15">
        <v>0.187</v>
      </c>
      <c r="F25" s="10"/>
      <c r="G25" s="12"/>
      <c r="H25" s="12"/>
      <c r="I25" s="11"/>
      <c r="J25" s="11"/>
    </row>
    <row r="26" spans="1:10" ht="57.75">
      <c r="A26" s="10" t="s">
        <v>209</v>
      </c>
      <c r="B26" s="12">
        <v>0.21199999999999999</v>
      </c>
      <c r="F26" s="13"/>
      <c r="G26" s="15"/>
      <c r="H26" s="15"/>
      <c r="I26" s="14"/>
      <c r="J26" s="14"/>
    </row>
    <row r="27" spans="1:10" ht="57.75">
      <c r="A27" s="13" t="s">
        <v>118</v>
      </c>
      <c r="B27" s="15">
        <v>9.4E-2</v>
      </c>
      <c r="F27" s="10"/>
      <c r="G27" s="12"/>
      <c r="H27" s="12"/>
      <c r="I27" s="11"/>
      <c r="J27" s="11"/>
    </row>
    <row r="28" spans="1:10">
      <c r="A28" s="10" t="s">
        <v>119</v>
      </c>
      <c r="B28" s="12">
        <v>0.22700000000000001</v>
      </c>
      <c r="F28" s="13"/>
      <c r="G28" s="15"/>
      <c r="H28" s="15"/>
      <c r="I28" s="14"/>
      <c r="J28" s="14"/>
    </row>
    <row r="29" spans="1:10">
      <c r="A29" s="13" t="s">
        <v>7</v>
      </c>
      <c r="B29" s="15">
        <v>0.19700000000000001</v>
      </c>
      <c r="F29" s="10"/>
      <c r="G29" s="12"/>
      <c r="H29" s="12"/>
      <c r="I29" s="11"/>
      <c r="J29" s="11"/>
    </row>
    <row r="30" spans="1:10" ht="43.5">
      <c r="A30" s="10" t="s">
        <v>210</v>
      </c>
      <c r="B30" s="12">
        <v>0.21199999999999999</v>
      </c>
      <c r="F30" s="13"/>
      <c r="G30" s="15"/>
      <c r="H30" s="15"/>
      <c r="I30" s="14"/>
      <c r="J30" s="14"/>
    </row>
    <row r="31" spans="1:10">
      <c r="A31" s="13" t="s">
        <v>120</v>
      </c>
      <c r="B31" s="15">
        <v>0.124</v>
      </c>
      <c r="F31" s="10"/>
      <c r="G31" s="12"/>
      <c r="H31" s="12"/>
      <c r="I31" s="11"/>
      <c r="J31" s="11"/>
    </row>
    <row r="32" spans="1:10">
      <c r="A32" s="10" t="s">
        <v>8</v>
      </c>
      <c r="B32" s="12">
        <v>0.187</v>
      </c>
      <c r="F32" s="13"/>
      <c r="G32" s="15"/>
      <c r="H32" s="15"/>
      <c r="I32" s="14"/>
      <c r="J32" s="14"/>
    </row>
    <row r="33" spans="1:10" ht="29.25">
      <c r="A33" s="13" t="s">
        <v>121</v>
      </c>
      <c r="B33" s="15">
        <v>0.156</v>
      </c>
      <c r="F33" s="10"/>
      <c r="G33" s="12"/>
      <c r="H33" s="12"/>
      <c r="I33" s="11"/>
      <c r="J33" s="11"/>
    </row>
    <row r="34" spans="1:10">
      <c r="A34" s="10" t="s">
        <v>122</v>
      </c>
      <c r="B34" s="12">
        <v>0.14699999999999999</v>
      </c>
      <c r="F34" s="13"/>
      <c r="G34" s="15"/>
      <c r="H34" s="15"/>
      <c r="I34" s="14"/>
      <c r="J34" s="14"/>
    </row>
    <row r="35" spans="1:10" ht="29.25">
      <c r="A35" s="13" t="s">
        <v>123</v>
      </c>
      <c r="B35" s="15">
        <v>0.26800000000000002</v>
      </c>
      <c r="F35" s="10"/>
      <c r="G35" s="12"/>
      <c r="H35" s="12"/>
      <c r="I35" s="11"/>
      <c r="J35" s="11"/>
    </row>
    <row r="36" spans="1:10" ht="29.25">
      <c r="A36" s="10" t="s">
        <v>124</v>
      </c>
      <c r="B36" s="12">
        <v>0.158</v>
      </c>
      <c r="F36" s="13"/>
      <c r="G36" s="15"/>
      <c r="H36" s="15"/>
      <c r="I36" s="14"/>
      <c r="J36" s="14"/>
    </row>
    <row r="37" spans="1:10">
      <c r="A37" s="13" t="s">
        <v>9</v>
      </c>
      <c r="B37" s="15">
        <v>0.106</v>
      </c>
      <c r="F37" s="10"/>
      <c r="G37" s="12"/>
      <c r="H37" s="12"/>
      <c r="I37" s="11"/>
      <c r="J37" s="11"/>
    </row>
    <row r="38" spans="1:10" ht="29.25">
      <c r="A38" s="10" t="s">
        <v>125</v>
      </c>
      <c r="B38" s="12">
        <v>0.13900000000000001</v>
      </c>
      <c r="F38" s="13"/>
      <c r="G38" s="15"/>
      <c r="H38" s="15"/>
      <c r="I38" s="14"/>
      <c r="J38" s="14"/>
    </row>
    <row r="39" spans="1:10" ht="29.25">
      <c r="A39" s="13" t="s">
        <v>211</v>
      </c>
      <c r="B39" s="15">
        <v>0.21199999999999999</v>
      </c>
      <c r="F39" s="10"/>
      <c r="G39" s="12"/>
      <c r="H39" s="12"/>
      <c r="I39" s="11"/>
      <c r="J39" s="11"/>
    </row>
    <row r="40" spans="1:10" ht="43.5">
      <c r="A40" s="10" t="s">
        <v>126</v>
      </c>
      <c r="B40" s="12">
        <v>0.31</v>
      </c>
      <c r="F40" s="13"/>
      <c r="G40" s="15"/>
      <c r="H40" s="15"/>
      <c r="I40" s="14"/>
      <c r="J40" s="14"/>
    </row>
    <row r="41" spans="1:10">
      <c r="A41" s="13" t="s">
        <v>127</v>
      </c>
      <c r="B41" s="15">
        <v>0.13800000000000001</v>
      </c>
      <c r="F41" s="10"/>
      <c r="G41" s="12"/>
      <c r="H41" s="12"/>
      <c r="I41" s="11"/>
      <c r="J41" s="11"/>
    </row>
    <row r="42" spans="1:10">
      <c r="A42" s="10" t="s">
        <v>10</v>
      </c>
      <c r="B42" s="12">
        <v>0.23699999999999999</v>
      </c>
      <c r="F42" s="13"/>
      <c r="G42" s="15"/>
      <c r="H42" s="15"/>
      <c r="I42" s="14"/>
      <c r="J42" s="14"/>
    </row>
    <row r="43" spans="1:10">
      <c r="A43" s="13" t="s">
        <v>11</v>
      </c>
      <c r="B43" s="15">
        <v>0.157</v>
      </c>
      <c r="F43" s="10"/>
      <c r="G43" s="12"/>
      <c r="H43" s="12"/>
      <c r="I43" s="11"/>
      <c r="J43" s="11"/>
    </row>
    <row r="44" spans="1:10">
      <c r="A44" s="10" t="s">
        <v>61</v>
      </c>
      <c r="B44" s="12">
        <v>0.193</v>
      </c>
      <c r="F44" s="13"/>
      <c r="G44" s="15"/>
      <c r="H44" s="15"/>
      <c r="I44" s="14"/>
      <c r="J44" s="14"/>
    </row>
    <row r="45" spans="1:10">
      <c r="A45" s="13" t="s">
        <v>128</v>
      </c>
      <c r="B45" s="15">
        <v>0.14199999999999999</v>
      </c>
      <c r="F45" s="10"/>
      <c r="G45" s="12"/>
      <c r="H45" s="12"/>
      <c r="I45" s="11"/>
      <c r="J45" s="11"/>
    </row>
    <row r="46" spans="1:10">
      <c r="A46" s="10" t="s">
        <v>212</v>
      </c>
      <c r="B46" s="12">
        <v>0.20499999999999999</v>
      </c>
      <c r="F46" s="13"/>
      <c r="G46" s="15"/>
      <c r="H46" s="15"/>
      <c r="I46" s="14"/>
      <c r="J46" s="14"/>
    </row>
    <row r="47" spans="1:10" ht="29.25">
      <c r="A47" s="13" t="s">
        <v>62</v>
      </c>
      <c r="B47" s="15">
        <v>0.20899999999999999</v>
      </c>
      <c r="F47" s="10"/>
      <c r="G47" s="12"/>
      <c r="H47" s="12"/>
      <c r="I47" s="11"/>
      <c r="J47" s="11"/>
    </row>
    <row r="48" spans="1:10" ht="29.25">
      <c r="A48" s="10" t="s">
        <v>213</v>
      </c>
      <c r="B48" s="12">
        <v>0.21</v>
      </c>
      <c r="F48" s="13"/>
      <c r="G48" s="15"/>
      <c r="H48" s="15"/>
      <c r="I48" s="14"/>
      <c r="J48" s="14"/>
    </row>
    <row r="49" spans="1:10">
      <c r="A49" s="13" t="s">
        <v>63</v>
      </c>
      <c r="B49" s="15">
        <v>8.6999999999999994E-2</v>
      </c>
      <c r="F49" s="10"/>
      <c r="G49" s="12"/>
      <c r="H49" s="12"/>
      <c r="I49" s="11"/>
      <c r="J49" s="11"/>
    </row>
    <row r="50" spans="1:10">
      <c r="A50" s="10" t="s">
        <v>129</v>
      </c>
      <c r="B50" s="12">
        <v>0.14899999999999999</v>
      </c>
      <c r="F50" s="13"/>
      <c r="G50" s="15"/>
      <c r="H50" s="15"/>
      <c r="I50" s="14"/>
      <c r="J50" s="14"/>
    </row>
    <row r="51" spans="1:10">
      <c r="A51" s="13" t="s">
        <v>214</v>
      </c>
      <c r="B51" s="15">
        <v>0.21199999999999999</v>
      </c>
      <c r="F51" s="10"/>
      <c r="G51" s="12"/>
      <c r="H51" s="12"/>
      <c r="I51" s="11"/>
      <c r="J51" s="11"/>
    </row>
    <row r="52" spans="1:10">
      <c r="A52" s="10" t="s">
        <v>64</v>
      </c>
      <c r="B52" s="12">
        <v>8.6999999999999994E-2</v>
      </c>
      <c r="F52" s="13"/>
      <c r="G52" s="15"/>
      <c r="H52" s="15"/>
      <c r="I52" s="14"/>
      <c r="J52" s="14"/>
    </row>
    <row r="53" spans="1:10">
      <c r="A53" s="13" t="s">
        <v>12</v>
      </c>
      <c r="B53" s="15">
        <v>7.5999999999999998E-2</v>
      </c>
      <c r="F53" s="10"/>
      <c r="G53" s="12"/>
      <c r="H53" s="12"/>
      <c r="I53" s="11"/>
      <c r="J53" s="11"/>
    </row>
    <row r="54" spans="1:10" ht="57.75">
      <c r="A54" s="10" t="s">
        <v>215</v>
      </c>
      <c r="B54" s="12">
        <v>0.14599999999999999</v>
      </c>
      <c r="F54" s="13"/>
      <c r="G54" s="15"/>
      <c r="H54" s="15"/>
      <c r="I54" s="14"/>
      <c r="J54" s="14"/>
    </row>
    <row r="55" spans="1:10">
      <c r="A55" s="13" t="s">
        <v>13</v>
      </c>
      <c r="B55" s="15">
        <v>0.186</v>
      </c>
      <c r="F55" s="10"/>
      <c r="G55" s="12"/>
      <c r="H55" s="12"/>
      <c r="I55" s="11"/>
      <c r="J55" s="11"/>
    </row>
    <row r="56" spans="1:10">
      <c r="A56" s="10" t="s">
        <v>130</v>
      </c>
      <c r="B56" s="12">
        <v>0.159</v>
      </c>
      <c r="F56" s="13"/>
      <c r="G56" s="15"/>
      <c r="H56" s="15"/>
      <c r="I56" s="14"/>
      <c r="J56" s="14"/>
    </row>
    <row r="57" spans="1:10">
      <c r="A57" s="13" t="s">
        <v>131</v>
      </c>
      <c r="B57" s="15">
        <v>0.21199999999999999</v>
      </c>
      <c r="F57" s="10"/>
      <c r="G57" s="12"/>
      <c r="H57" s="12"/>
      <c r="I57" s="11"/>
      <c r="J57" s="11"/>
    </row>
    <row r="58" spans="1:10" ht="43.5">
      <c r="A58" s="10" t="s">
        <v>66</v>
      </c>
      <c r="B58" s="12">
        <v>0.153</v>
      </c>
      <c r="F58" s="13"/>
      <c r="G58" s="14"/>
      <c r="H58" s="14"/>
      <c r="I58" s="14"/>
      <c r="J58" s="14"/>
    </row>
    <row r="59" spans="1:10" ht="29.25">
      <c r="A59" s="13" t="s">
        <v>216</v>
      </c>
      <c r="B59" s="14"/>
      <c r="F59" s="10"/>
      <c r="G59" s="12"/>
      <c r="H59" s="12"/>
      <c r="I59" s="11"/>
      <c r="J59" s="11"/>
    </row>
    <row r="60" spans="1:10" ht="29.25">
      <c r="A60" s="10" t="s">
        <v>217</v>
      </c>
      <c r="B60" s="12">
        <v>0.17599999999999999</v>
      </c>
      <c r="F60" s="13"/>
      <c r="G60" s="15"/>
      <c r="H60" s="15"/>
      <c r="I60" s="14"/>
      <c r="J60" s="14"/>
    </row>
    <row r="61" spans="1:10">
      <c r="A61" s="13" t="s">
        <v>67</v>
      </c>
      <c r="B61" s="15">
        <v>0.14399999999999999</v>
      </c>
      <c r="F61" s="10"/>
      <c r="G61" s="12"/>
      <c r="H61" s="12"/>
      <c r="I61" s="11"/>
      <c r="J61" s="11"/>
    </row>
    <row r="62" spans="1:10">
      <c r="A62" s="10" t="s">
        <v>68</v>
      </c>
      <c r="B62" s="12">
        <v>0.18099999999999999</v>
      </c>
      <c r="F62" s="13"/>
      <c r="G62" s="15"/>
      <c r="H62" s="15"/>
      <c r="I62" s="14"/>
      <c r="J62" s="14"/>
    </row>
    <row r="63" spans="1:10" ht="29.25">
      <c r="A63" s="13" t="s">
        <v>133</v>
      </c>
      <c r="B63" s="15">
        <v>0.126</v>
      </c>
      <c r="F63" s="10"/>
      <c r="G63" s="12"/>
      <c r="H63" s="12"/>
      <c r="I63" s="11"/>
      <c r="J63" s="11"/>
    </row>
    <row r="64" spans="1:10" ht="29.25">
      <c r="A64" s="10" t="s">
        <v>134</v>
      </c>
      <c r="B64" s="12">
        <v>0.17399999999999999</v>
      </c>
      <c r="F64" s="13"/>
      <c r="G64" s="15"/>
      <c r="H64" s="15"/>
      <c r="I64" s="14"/>
      <c r="J64" s="14"/>
    </row>
    <row r="65" spans="1:10">
      <c r="A65" s="13" t="s">
        <v>135</v>
      </c>
      <c r="B65" s="15">
        <v>0.24399999999999999</v>
      </c>
      <c r="F65" s="10"/>
      <c r="G65" s="12"/>
      <c r="H65" s="12"/>
      <c r="I65" s="11"/>
      <c r="J65" s="11"/>
    </row>
    <row r="66" spans="1:10">
      <c r="A66" s="10" t="s">
        <v>69</v>
      </c>
      <c r="B66" s="12">
        <v>0.14299999999999999</v>
      </c>
      <c r="F66" s="13"/>
      <c r="G66" s="15"/>
      <c r="H66" s="15"/>
      <c r="I66" s="14"/>
      <c r="J66" s="14"/>
    </row>
    <row r="67" spans="1:10">
      <c r="A67" s="13" t="s">
        <v>136</v>
      </c>
      <c r="B67" s="15">
        <v>0.193</v>
      </c>
      <c r="F67" s="10"/>
      <c r="G67" s="12"/>
      <c r="H67" s="12"/>
      <c r="I67" s="11"/>
      <c r="J67" s="11"/>
    </row>
    <row r="68" spans="1:10">
      <c r="A68" s="10" t="s">
        <v>137</v>
      </c>
      <c r="B68" s="12">
        <v>0.13800000000000001</v>
      </c>
      <c r="F68" s="13"/>
      <c r="G68" s="15"/>
      <c r="H68" s="15"/>
      <c r="I68" s="14"/>
      <c r="J68" s="14"/>
    </row>
    <row r="69" spans="1:10">
      <c r="A69" s="13" t="s">
        <v>138</v>
      </c>
      <c r="B69" s="15">
        <v>0.161</v>
      </c>
      <c r="F69" s="10"/>
      <c r="G69" s="12"/>
      <c r="H69" s="12"/>
      <c r="I69" s="11"/>
      <c r="J69" s="11"/>
    </row>
    <row r="70" spans="1:10">
      <c r="A70" s="10" t="s">
        <v>15</v>
      </c>
      <c r="B70" s="12">
        <v>0.106</v>
      </c>
      <c r="F70" s="13"/>
      <c r="G70" s="15"/>
      <c r="H70" s="15"/>
      <c r="I70" s="14"/>
      <c r="J70" s="14"/>
    </row>
    <row r="71" spans="1:10">
      <c r="A71" s="13" t="s">
        <v>16</v>
      </c>
      <c r="B71" s="15">
        <v>0.127</v>
      </c>
      <c r="F71" s="10"/>
      <c r="G71" s="12"/>
      <c r="H71" s="12"/>
      <c r="I71" s="11"/>
      <c r="J71" s="11"/>
    </row>
    <row r="72" spans="1:10" ht="29.25">
      <c r="A72" s="10" t="s">
        <v>218</v>
      </c>
      <c r="B72" s="12">
        <v>0.161</v>
      </c>
      <c r="F72" s="13"/>
      <c r="G72" s="15"/>
      <c r="H72" s="15"/>
      <c r="I72" s="14"/>
      <c r="J72" s="14"/>
    </row>
    <row r="73" spans="1:10">
      <c r="A73" s="13" t="s">
        <v>139</v>
      </c>
      <c r="B73" s="15">
        <v>0.11</v>
      </c>
      <c r="F73" s="10"/>
      <c r="G73" s="12"/>
      <c r="H73" s="12"/>
      <c r="I73" s="11"/>
      <c r="J73" s="11"/>
    </row>
    <row r="74" spans="1:10">
      <c r="A74" s="10" t="s">
        <v>140</v>
      </c>
      <c r="B74" s="12">
        <v>0.13600000000000001</v>
      </c>
      <c r="F74" s="13"/>
      <c r="G74" s="15"/>
      <c r="H74" s="15"/>
      <c r="I74" s="14"/>
      <c r="J74" s="14"/>
    </row>
    <row r="75" spans="1:10">
      <c r="A75" s="13" t="s">
        <v>70</v>
      </c>
      <c r="B75" s="15">
        <v>0.185</v>
      </c>
      <c r="F75" s="10"/>
      <c r="G75" s="12"/>
      <c r="H75" s="12"/>
      <c r="I75" s="11"/>
      <c r="J75" s="11"/>
    </row>
    <row r="76" spans="1:10">
      <c r="A76" s="10" t="s">
        <v>17</v>
      </c>
      <c r="B76" s="12">
        <v>0.10299999999999999</v>
      </c>
      <c r="F76" s="13"/>
      <c r="G76" s="15"/>
      <c r="H76" s="15"/>
      <c r="I76" s="14"/>
      <c r="J76" s="14"/>
    </row>
    <row r="77" spans="1:10">
      <c r="A77" s="13" t="s">
        <v>141</v>
      </c>
      <c r="B77" s="15">
        <v>0.152</v>
      </c>
      <c r="F77" s="10"/>
      <c r="G77" s="12"/>
      <c r="H77" s="12"/>
      <c r="I77" s="11"/>
      <c r="J77" s="11"/>
    </row>
    <row r="78" spans="1:10">
      <c r="A78" s="10" t="s">
        <v>219</v>
      </c>
      <c r="B78" s="12">
        <v>0.115</v>
      </c>
      <c r="F78" s="13"/>
      <c r="G78" s="15"/>
      <c r="H78" s="15"/>
      <c r="I78" s="14"/>
      <c r="J78" s="14"/>
    </row>
    <row r="79" spans="1:10">
      <c r="A79" s="13" t="s">
        <v>18</v>
      </c>
      <c r="B79" s="15">
        <v>0.13800000000000001</v>
      </c>
      <c r="F79" s="10"/>
      <c r="G79" s="12"/>
      <c r="H79" s="12"/>
      <c r="I79" s="11"/>
      <c r="J79" s="11"/>
    </row>
    <row r="80" spans="1:10" ht="29.25">
      <c r="A80" s="10" t="s">
        <v>220</v>
      </c>
      <c r="B80" s="12">
        <v>0.161</v>
      </c>
      <c r="F80" s="13"/>
      <c r="G80" s="15"/>
      <c r="H80" s="15"/>
      <c r="I80" s="14"/>
      <c r="J80" s="14"/>
    </row>
    <row r="81" spans="1:10">
      <c r="A81" s="13" t="s">
        <v>142</v>
      </c>
      <c r="B81" s="15">
        <v>0.21199999999999999</v>
      </c>
      <c r="F81" s="10"/>
      <c r="G81" s="12"/>
      <c r="H81" s="12"/>
      <c r="I81" s="11"/>
      <c r="J81" s="11"/>
    </row>
    <row r="82" spans="1:10" ht="29.25">
      <c r="A82" s="10" t="s">
        <v>71</v>
      </c>
      <c r="B82" s="12">
        <v>0.187</v>
      </c>
      <c r="F82" s="13"/>
      <c r="G82" s="15"/>
      <c r="H82" s="15"/>
      <c r="I82" s="14"/>
      <c r="J82" s="14"/>
    </row>
    <row r="83" spans="1:10">
      <c r="A83" s="13" t="s">
        <v>221</v>
      </c>
      <c r="B83" s="15">
        <v>0.115</v>
      </c>
      <c r="F83" s="10"/>
      <c r="G83" s="12"/>
      <c r="H83" s="12"/>
      <c r="I83" s="11"/>
      <c r="J83" s="11"/>
    </row>
    <row r="84" spans="1:10">
      <c r="A84" s="10" t="s">
        <v>143</v>
      </c>
      <c r="B84" s="12">
        <v>8.5999999999999993E-2</v>
      </c>
      <c r="F84" s="13"/>
      <c r="G84" s="15"/>
      <c r="H84" s="15"/>
      <c r="I84" s="14"/>
      <c r="J84" s="14"/>
    </row>
    <row r="85" spans="1:10" ht="29.25">
      <c r="A85" s="13" t="s">
        <v>222</v>
      </c>
      <c r="B85" s="15">
        <v>0.12</v>
      </c>
      <c r="F85" s="10"/>
      <c r="G85" s="12"/>
      <c r="H85" s="12"/>
      <c r="I85" s="11"/>
      <c r="J85" s="11"/>
    </row>
    <row r="86" spans="1:10">
      <c r="A86" s="10" t="s">
        <v>145</v>
      </c>
      <c r="B86" s="12">
        <v>0.187</v>
      </c>
      <c r="F86" s="13"/>
      <c r="G86" s="15"/>
      <c r="H86" s="15"/>
      <c r="I86" s="14"/>
      <c r="J86" s="14"/>
    </row>
    <row r="87" spans="1:10">
      <c r="A87" s="13" t="s">
        <v>146</v>
      </c>
      <c r="B87" s="15">
        <v>0.187</v>
      </c>
      <c r="F87" s="10"/>
      <c r="G87" s="12"/>
      <c r="H87" s="12"/>
      <c r="I87" s="11"/>
      <c r="J87" s="11"/>
    </row>
    <row r="88" spans="1:10">
      <c r="A88" s="10" t="s">
        <v>147</v>
      </c>
      <c r="B88" s="12">
        <v>0.187</v>
      </c>
      <c r="F88" s="13"/>
      <c r="G88" s="15"/>
      <c r="H88" s="15"/>
      <c r="I88" s="14"/>
      <c r="J88" s="14"/>
    </row>
    <row r="89" spans="1:10" ht="29.25">
      <c r="A89" s="13" t="s">
        <v>19</v>
      </c>
      <c r="B89" s="15">
        <v>0.17899999999999999</v>
      </c>
      <c r="F89" s="10"/>
      <c r="G89" s="12"/>
      <c r="H89" s="12"/>
      <c r="I89" s="11"/>
      <c r="J89" s="11"/>
    </row>
    <row r="90" spans="1:10">
      <c r="A90" s="10" t="s">
        <v>73</v>
      </c>
      <c r="B90" s="12">
        <v>0.10299999999999999</v>
      </c>
      <c r="F90" s="13"/>
      <c r="G90" s="15"/>
      <c r="H90" s="15"/>
      <c r="I90" s="14"/>
      <c r="J90" s="14"/>
    </row>
    <row r="91" spans="1:10">
      <c r="A91" s="13" t="s">
        <v>20</v>
      </c>
      <c r="B91" s="15">
        <v>7.6999999999999999E-2</v>
      </c>
      <c r="F91" s="10"/>
      <c r="G91" s="12"/>
      <c r="H91" s="12"/>
      <c r="I91" s="16"/>
      <c r="J91" s="17"/>
    </row>
    <row r="92" spans="1:10">
      <c r="A92" s="10" t="s">
        <v>21</v>
      </c>
      <c r="B92" s="12">
        <v>0.217</v>
      </c>
      <c r="F92" s="13"/>
      <c r="G92" s="15"/>
      <c r="H92" s="15"/>
      <c r="I92" s="14"/>
      <c r="J92" s="14"/>
    </row>
    <row r="93" spans="1:10">
      <c r="A93" s="13" t="s">
        <v>22</v>
      </c>
      <c r="B93" s="15">
        <v>0.14799999999999999</v>
      </c>
      <c r="F93" s="10"/>
      <c r="G93" s="12"/>
      <c r="H93" s="12"/>
      <c r="I93" s="11"/>
      <c r="J93" s="11"/>
    </row>
    <row r="94" spans="1:10">
      <c r="A94" s="10" t="s">
        <v>74</v>
      </c>
      <c r="B94" s="12">
        <v>0.18099999999999999</v>
      </c>
      <c r="F94" s="13"/>
      <c r="G94" s="15"/>
      <c r="H94" s="15"/>
      <c r="I94" s="14"/>
      <c r="J94" s="14"/>
    </row>
    <row r="95" spans="1:10">
      <c r="A95" s="13" t="s">
        <v>75</v>
      </c>
      <c r="B95" s="15">
        <v>0.20100000000000001</v>
      </c>
      <c r="F95" s="10"/>
      <c r="G95" s="12"/>
      <c r="H95" s="12"/>
      <c r="I95" s="11"/>
      <c r="J95" s="11"/>
    </row>
    <row r="96" spans="1:10">
      <c r="A96" s="10" t="s">
        <v>23</v>
      </c>
      <c r="B96" s="12">
        <v>0.152</v>
      </c>
      <c r="F96" s="13"/>
      <c r="G96" s="15"/>
      <c r="H96" s="15"/>
      <c r="I96" s="14"/>
      <c r="J96" s="14"/>
    </row>
    <row r="97" spans="1:10" ht="29.25">
      <c r="A97" s="13" t="s">
        <v>223</v>
      </c>
      <c r="B97" s="15">
        <v>0.115</v>
      </c>
      <c r="F97" s="10"/>
      <c r="G97" s="12"/>
      <c r="H97" s="12"/>
      <c r="I97" s="11"/>
      <c r="J97" s="11"/>
    </row>
    <row r="98" spans="1:10">
      <c r="A98" s="10" t="s">
        <v>24</v>
      </c>
      <c r="B98" s="12">
        <v>0.16</v>
      </c>
      <c r="F98" s="13"/>
      <c r="G98" s="15"/>
      <c r="H98" s="15"/>
      <c r="I98" s="14"/>
      <c r="J98" s="14"/>
    </row>
    <row r="99" spans="1:10">
      <c r="A99" s="13" t="s">
        <v>25</v>
      </c>
      <c r="B99" s="15">
        <v>0.13600000000000001</v>
      </c>
      <c r="F99" s="10"/>
      <c r="G99" s="12"/>
      <c r="H99" s="12"/>
      <c r="I99" s="11"/>
      <c r="J99" s="11"/>
    </row>
    <row r="100" spans="1:10">
      <c r="A100" s="10" t="s">
        <v>26</v>
      </c>
      <c r="B100" s="12">
        <v>0.187</v>
      </c>
      <c r="F100" s="13"/>
      <c r="G100" s="15"/>
      <c r="H100" s="15"/>
      <c r="I100" s="14"/>
      <c r="J100" s="14"/>
    </row>
    <row r="101" spans="1:10">
      <c r="A101" s="13" t="s">
        <v>27</v>
      </c>
      <c r="B101" s="15">
        <v>0.129</v>
      </c>
      <c r="F101" s="10"/>
      <c r="G101" s="12"/>
      <c r="H101" s="12"/>
      <c r="I101" s="11"/>
      <c r="J101" s="11"/>
    </row>
    <row r="102" spans="1:10">
      <c r="A102" s="10" t="s">
        <v>224</v>
      </c>
      <c r="B102" s="12">
        <v>0.115</v>
      </c>
      <c r="F102" s="13"/>
      <c r="G102" s="15"/>
      <c r="H102" s="15"/>
      <c r="I102" s="14"/>
      <c r="J102" s="14"/>
    </row>
    <row r="103" spans="1:10">
      <c r="A103" s="13" t="s">
        <v>76</v>
      </c>
      <c r="B103" s="15">
        <v>0.17100000000000001</v>
      </c>
      <c r="F103" s="10"/>
      <c r="G103" s="12"/>
      <c r="H103" s="12"/>
      <c r="I103" s="11"/>
      <c r="J103" s="11"/>
    </row>
    <row r="104" spans="1:10" ht="29.25">
      <c r="A104" s="10" t="s">
        <v>77</v>
      </c>
      <c r="B104" s="12">
        <v>0.106</v>
      </c>
      <c r="F104" s="13"/>
      <c r="G104" s="15"/>
      <c r="H104" s="15"/>
      <c r="I104" s="14"/>
      <c r="J104" s="14"/>
    </row>
    <row r="105" spans="1:10">
      <c r="A105" s="13" t="s">
        <v>78</v>
      </c>
      <c r="B105" s="15">
        <v>0.152</v>
      </c>
      <c r="F105" s="10"/>
      <c r="G105" s="12"/>
      <c r="H105" s="12"/>
      <c r="I105" s="11"/>
      <c r="J105" s="11"/>
    </row>
    <row r="106" spans="1:10">
      <c r="A106" s="10" t="s">
        <v>149</v>
      </c>
      <c r="B106" s="12">
        <v>0.161</v>
      </c>
      <c r="F106" s="13"/>
      <c r="G106" s="15"/>
      <c r="H106" s="15"/>
      <c r="I106" s="14"/>
      <c r="J106" s="14"/>
    </row>
    <row r="107" spans="1:10">
      <c r="A107" s="13" t="s">
        <v>225</v>
      </c>
      <c r="B107" s="15">
        <v>8.3000000000000004E-2</v>
      </c>
      <c r="F107" s="10"/>
      <c r="G107" s="12"/>
      <c r="H107" s="12"/>
      <c r="I107" s="11"/>
      <c r="J107" s="11"/>
    </row>
    <row r="108" spans="1:10">
      <c r="A108" s="10" t="s">
        <v>79</v>
      </c>
      <c r="B108" s="12">
        <v>0.19</v>
      </c>
      <c r="F108" s="13"/>
      <c r="G108" s="15"/>
      <c r="H108" s="15"/>
      <c r="I108" s="14"/>
      <c r="J108" s="14"/>
    </row>
    <row r="109" spans="1:10" ht="29.25">
      <c r="A109" s="13" t="s">
        <v>150</v>
      </c>
      <c r="B109" s="15">
        <v>0.156</v>
      </c>
      <c r="F109" s="10"/>
      <c r="G109" s="12"/>
      <c r="H109" s="12"/>
      <c r="I109" s="11"/>
      <c r="J109" s="11"/>
    </row>
    <row r="110" spans="1:10">
      <c r="A110" s="10" t="s">
        <v>151</v>
      </c>
      <c r="B110" s="12">
        <v>0.17100000000000001</v>
      </c>
      <c r="F110" s="13"/>
      <c r="G110" s="15"/>
      <c r="H110" s="15"/>
      <c r="I110" s="14"/>
      <c r="J110" s="14"/>
    </row>
    <row r="111" spans="1:10">
      <c r="A111" s="13" t="s">
        <v>80</v>
      </c>
      <c r="B111" s="15">
        <v>9.6000000000000002E-2</v>
      </c>
      <c r="F111" s="10"/>
      <c r="G111" s="12"/>
      <c r="H111" s="12"/>
      <c r="I111" s="11"/>
      <c r="J111" s="11"/>
    </row>
    <row r="112" spans="1:10">
      <c r="A112" s="10" t="s">
        <v>81</v>
      </c>
      <c r="B112" s="12">
        <v>0.20499999999999999</v>
      </c>
      <c r="F112" s="13"/>
      <c r="G112" s="15"/>
      <c r="H112" s="15"/>
      <c r="I112" s="14"/>
      <c r="J112" s="14"/>
    </row>
    <row r="113" spans="1:10">
      <c r="A113" s="13" t="s">
        <v>152</v>
      </c>
      <c r="B113" s="15">
        <v>0.14499999999999999</v>
      </c>
      <c r="F113" s="10"/>
      <c r="G113" s="12"/>
      <c r="H113" s="12"/>
      <c r="I113" s="11"/>
      <c r="J113" s="11"/>
    </row>
    <row r="114" spans="1:10">
      <c r="A114" s="10" t="s">
        <v>153</v>
      </c>
      <c r="B114" s="12">
        <v>0.122</v>
      </c>
      <c r="F114" s="13"/>
      <c r="G114" s="15"/>
      <c r="H114" s="15"/>
      <c r="I114" s="14"/>
      <c r="J114" s="14"/>
    </row>
    <row r="115" spans="1:10">
      <c r="A115" s="13" t="s">
        <v>154</v>
      </c>
      <c r="B115" s="15">
        <v>0.13500000000000001</v>
      </c>
      <c r="F115" s="10"/>
      <c r="G115" s="12"/>
      <c r="H115" s="12"/>
      <c r="I115" s="11"/>
      <c r="J115" s="11"/>
    </row>
    <row r="116" spans="1:10" ht="29.25">
      <c r="A116" s="10" t="s">
        <v>155</v>
      </c>
      <c r="B116" s="12">
        <v>0.115</v>
      </c>
      <c r="F116" s="13"/>
      <c r="G116" s="15"/>
      <c r="H116" s="15"/>
      <c r="I116" s="14"/>
      <c r="J116" s="14"/>
    </row>
    <row r="117" spans="1:10">
      <c r="A117" s="13" t="s">
        <v>28</v>
      </c>
      <c r="B117" s="15">
        <v>0.11799999999999999</v>
      </c>
      <c r="F117" s="10"/>
      <c r="G117" s="12"/>
      <c r="H117" s="12"/>
      <c r="I117" s="11"/>
      <c r="J117" s="11"/>
    </row>
    <row r="118" spans="1:10" ht="29.25">
      <c r="A118" s="10" t="s">
        <v>82</v>
      </c>
      <c r="B118" s="12">
        <v>8.8999999999999996E-2</v>
      </c>
      <c r="F118" s="13"/>
      <c r="G118" s="15"/>
      <c r="H118" s="15"/>
      <c r="I118" s="14"/>
      <c r="J118" s="14"/>
    </row>
    <row r="119" spans="1:10">
      <c r="A119" s="13" t="s">
        <v>226</v>
      </c>
      <c r="B119" s="15">
        <v>8.2000000000000003E-2</v>
      </c>
      <c r="F119" s="10"/>
      <c r="G119" s="12"/>
      <c r="H119" s="12"/>
      <c r="I119" s="11"/>
      <c r="J119" s="11"/>
    </row>
    <row r="120" spans="1:10" ht="29.25">
      <c r="A120" s="10" t="s">
        <v>156</v>
      </c>
      <c r="B120" s="12">
        <v>0.152</v>
      </c>
      <c r="F120" s="13"/>
      <c r="G120" s="15"/>
      <c r="H120" s="15"/>
      <c r="I120" s="14"/>
      <c r="J120" s="14"/>
    </row>
    <row r="121" spans="1:10">
      <c r="A121" s="13" t="s">
        <v>157</v>
      </c>
      <c r="B121" s="15">
        <v>0.15</v>
      </c>
      <c r="F121" s="10"/>
      <c r="G121" s="12"/>
      <c r="H121" s="12"/>
      <c r="I121" s="11"/>
      <c r="J121" s="11"/>
    </row>
    <row r="122" spans="1:10">
      <c r="A122" s="10" t="s">
        <v>29</v>
      </c>
      <c r="B122" s="12">
        <v>0.20100000000000001</v>
      </c>
      <c r="F122" s="13"/>
      <c r="G122" s="15"/>
      <c r="H122" s="15"/>
      <c r="I122" s="14"/>
      <c r="J122" s="14"/>
    </row>
    <row r="123" spans="1:10">
      <c r="A123" s="13" t="s">
        <v>158</v>
      </c>
      <c r="B123" s="15">
        <v>0.35599999999999998</v>
      </c>
      <c r="F123" s="10"/>
      <c r="G123" s="12"/>
      <c r="H123" s="12"/>
      <c r="I123" s="11"/>
      <c r="J123" s="11"/>
    </row>
    <row r="124" spans="1:10">
      <c r="A124" s="10" t="s">
        <v>159</v>
      </c>
      <c r="B124" s="12">
        <v>0.11799999999999999</v>
      </c>
      <c r="F124" s="13"/>
      <c r="G124" s="15"/>
      <c r="H124" s="15"/>
      <c r="I124" s="14"/>
      <c r="J124" s="14"/>
    </row>
    <row r="125" spans="1:10">
      <c r="A125" s="13" t="s">
        <v>83</v>
      </c>
      <c r="B125" s="15">
        <v>9.2999999999999999E-2</v>
      </c>
      <c r="F125" s="10"/>
      <c r="G125" s="12"/>
      <c r="H125" s="12"/>
      <c r="I125" s="11"/>
      <c r="J125" s="11"/>
    </row>
    <row r="126" spans="1:10" ht="29.25">
      <c r="A126" s="10" t="s">
        <v>160</v>
      </c>
      <c r="B126" s="12">
        <v>0.161</v>
      </c>
      <c r="F126" s="13"/>
      <c r="G126" s="15"/>
      <c r="H126" s="15"/>
      <c r="I126" s="14"/>
      <c r="J126" s="14"/>
    </row>
    <row r="127" spans="1:10" ht="29.25">
      <c r="A127" s="13" t="s">
        <v>161</v>
      </c>
      <c r="B127" s="15">
        <v>0.108</v>
      </c>
      <c r="F127" s="10"/>
      <c r="G127" s="12"/>
      <c r="H127" s="12"/>
      <c r="I127" s="11"/>
      <c r="J127" s="11"/>
    </row>
    <row r="128" spans="1:10">
      <c r="A128" s="10" t="s">
        <v>162</v>
      </c>
      <c r="B128" s="12">
        <v>0.159</v>
      </c>
      <c r="F128" s="13"/>
      <c r="G128" s="15"/>
      <c r="H128" s="15"/>
      <c r="I128" s="14"/>
      <c r="J128" s="14"/>
    </row>
    <row r="129" spans="1:10">
      <c r="A129" s="13" t="s">
        <v>30</v>
      </c>
      <c r="B129" s="15">
        <v>0.26800000000000002</v>
      </c>
      <c r="F129" s="10"/>
      <c r="G129" s="12"/>
      <c r="H129" s="12"/>
      <c r="I129" s="11"/>
      <c r="J129" s="11"/>
    </row>
    <row r="130" spans="1:10" ht="43.5">
      <c r="A130" s="10" t="s">
        <v>227</v>
      </c>
      <c r="B130" s="12">
        <v>0.161</v>
      </c>
      <c r="F130" s="13"/>
      <c r="G130" s="15"/>
      <c r="H130" s="15"/>
      <c r="I130" s="14"/>
      <c r="J130" s="14"/>
    </row>
    <row r="131" spans="1:10">
      <c r="A131" s="13" t="s">
        <v>163</v>
      </c>
      <c r="B131" s="15">
        <v>9.8000000000000004E-2</v>
      </c>
      <c r="F131" s="10"/>
      <c r="G131" s="12"/>
      <c r="H131" s="12"/>
      <c r="I131" s="11"/>
      <c r="J131" s="11"/>
    </row>
    <row r="132" spans="1:10">
      <c r="A132" s="10" t="s">
        <v>228</v>
      </c>
      <c r="B132" s="12">
        <v>0.115</v>
      </c>
      <c r="F132" s="13"/>
      <c r="G132" s="15"/>
      <c r="H132" s="15"/>
      <c r="I132" s="14"/>
      <c r="J132" s="14"/>
    </row>
    <row r="133" spans="1:10">
      <c r="A133" s="13" t="s">
        <v>164</v>
      </c>
      <c r="B133" s="15">
        <v>0.14799999999999999</v>
      </c>
      <c r="F133" s="10"/>
      <c r="G133" s="12"/>
      <c r="H133" s="12"/>
      <c r="I133" s="11"/>
      <c r="J133" s="11"/>
    </row>
    <row r="134" spans="1:10" ht="29.25">
      <c r="A134" s="10" t="s">
        <v>165</v>
      </c>
      <c r="B134" s="12">
        <v>0.08</v>
      </c>
      <c r="F134" s="13"/>
      <c r="G134" s="15"/>
      <c r="H134" s="15"/>
      <c r="I134" s="14"/>
      <c r="J134" s="14"/>
    </row>
    <row r="135" spans="1:10" ht="29.25">
      <c r="A135" s="13" t="s">
        <v>229</v>
      </c>
      <c r="B135" s="15">
        <v>0.21199999999999999</v>
      </c>
      <c r="F135" s="10"/>
      <c r="G135" s="12"/>
      <c r="H135" s="12"/>
      <c r="I135" s="11"/>
      <c r="J135" s="11"/>
    </row>
    <row r="136" spans="1:10">
      <c r="A136" s="10" t="s">
        <v>84</v>
      </c>
      <c r="B136" s="12">
        <v>0.151</v>
      </c>
      <c r="F136" s="13"/>
      <c r="G136" s="15"/>
      <c r="H136" s="15"/>
      <c r="I136" s="14"/>
      <c r="J136" s="14"/>
    </row>
    <row r="137" spans="1:10" ht="29.25">
      <c r="A137" s="13" t="s">
        <v>166</v>
      </c>
      <c r="B137" s="15">
        <v>0.311</v>
      </c>
      <c r="F137" s="10"/>
      <c r="G137" s="12"/>
      <c r="H137" s="12"/>
      <c r="I137" s="11"/>
      <c r="J137" s="11"/>
    </row>
    <row r="138" spans="1:10">
      <c r="A138" s="10" t="s">
        <v>167</v>
      </c>
      <c r="B138" s="12">
        <v>0.26500000000000001</v>
      </c>
      <c r="F138" s="13"/>
      <c r="G138" s="15"/>
      <c r="H138" s="15"/>
      <c r="I138" s="14"/>
      <c r="J138" s="14"/>
    </row>
    <row r="139" spans="1:10">
      <c r="A139" s="13" t="s">
        <v>168</v>
      </c>
      <c r="B139" s="15">
        <v>0.216</v>
      </c>
      <c r="F139" s="10"/>
      <c r="G139" s="12"/>
      <c r="H139" s="12"/>
      <c r="I139" s="11"/>
      <c r="J139" s="11"/>
    </row>
    <row r="140" spans="1:10">
      <c r="A140" s="10" t="s">
        <v>230</v>
      </c>
      <c r="B140" s="12">
        <v>0.161</v>
      </c>
      <c r="F140" s="13"/>
      <c r="G140" s="15"/>
      <c r="H140" s="15"/>
      <c r="I140" s="14"/>
      <c r="J140" s="14"/>
    </row>
    <row r="141" spans="1:10">
      <c r="A141" s="13" t="s">
        <v>85</v>
      </c>
      <c r="B141" s="15">
        <v>9.7000000000000003E-2</v>
      </c>
      <c r="F141" s="10"/>
      <c r="G141" s="12"/>
      <c r="H141" s="12"/>
      <c r="I141" s="11"/>
      <c r="J141" s="11"/>
    </row>
    <row r="142" spans="1:10" ht="29.25">
      <c r="A142" s="10" t="s">
        <v>31</v>
      </c>
      <c r="B142" s="12">
        <v>0.1</v>
      </c>
      <c r="F142" s="13"/>
      <c r="G142" s="15"/>
      <c r="H142" s="15"/>
      <c r="I142" s="14"/>
      <c r="J142" s="14"/>
    </row>
    <row r="143" spans="1:10" ht="43.5">
      <c r="A143" s="13" t="s">
        <v>231</v>
      </c>
      <c r="B143" s="15">
        <v>0.161</v>
      </c>
      <c r="F143" s="10"/>
      <c r="G143" s="12"/>
      <c r="H143" s="12"/>
      <c r="I143" s="11"/>
      <c r="J143" s="11"/>
    </row>
    <row r="144" spans="1:10" ht="29.25">
      <c r="A144" s="10" t="s">
        <v>32</v>
      </c>
      <c r="B144" s="12">
        <v>0.11600000000000001</v>
      </c>
      <c r="F144" s="13"/>
      <c r="G144" s="15"/>
      <c r="H144" s="15"/>
      <c r="I144" s="14"/>
      <c r="J144" s="14"/>
    </row>
    <row r="145" spans="1:10" ht="29.25">
      <c r="A145" s="13" t="s">
        <v>169</v>
      </c>
      <c r="B145" s="15">
        <v>0.187</v>
      </c>
      <c r="F145" s="10"/>
      <c r="G145" s="12"/>
      <c r="H145" s="12"/>
      <c r="I145" s="11"/>
      <c r="J145" s="11"/>
    </row>
    <row r="146" spans="1:10">
      <c r="A146" s="10" t="s">
        <v>170</v>
      </c>
      <c r="B146" s="12">
        <v>0.16600000000000001</v>
      </c>
      <c r="F146" s="13"/>
      <c r="G146" s="15"/>
      <c r="H146" s="15"/>
      <c r="I146" s="14"/>
      <c r="J146" s="14"/>
    </row>
    <row r="147" spans="1:10">
      <c r="A147" s="13" t="s">
        <v>33</v>
      </c>
      <c r="B147" s="15">
        <v>0.11600000000000001</v>
      </c>
      <c r="F147" s="10"/>
      <c r="G147" s="12"/>
      <c r="H147" s="12"/>
      <c r="I147" s="11"/>
      <c r="J147" s="11"/>
    </row>
    <row r="148" spans="1:10" ht="29.25">
      <c r="A148" s="10" t="s">
        <v>232</v>
      </c>
      <c r="B148" s="12">
        <v>0.11899999999999999</v>
      </c>
      <c r="F148" s="13"/>
      <c r="G148" s="15"/>
      <c r="H148" s="15"/>
      <c r="I148" s="14"/>
      <c r="J148" s="14"/>
    </row>
    <row r="149" spans="1:10" ht="43.5">
      <c r="A149" s="13" t="s">
        <v>86</v>
      </c>
      <c r="B149" s="15">
        <v>7.4999999999999997E-2</v>
      </c>
      <c r="F149" s="10"/>
      <c r="G149" s="12"/>
      <c r="H149" s="12"/>
      <c r="I149" s="11"/>
      <c r="J149" s="11"/>
    </row>
    <row r="150" spans="1:10">
      <c r="A150" s="10" t="s">
        <v>35</v>
      </c>
      <c r="B150" s="12">
        <v>6.9000000000000006E-2</v>
      </c>
      <c r="F150" s="13"/>
      <c r="G150" s="15"/>
      <c r="H150" s="15"/>
      <c r="I150" s="14"/>
      <c r="J150" s="14"/>
    </row>
    <row r="151" spans="1:10">
      <c r="A151" s="13" t="s">
        <v>87</v>
      </c>
      <c r="B151" s="15">
        <v>0.191</v>
      </c>
      <c r="F151" s="10"/>
      <c r="G151" s="12"/>
      <c r="H151" s="12"/>
      <c r="I151" s="11"/>
      <c r="J151" s="11"/>
    </row>
    <row r="152" spans="1:10">
      <c r="A152" s="10" t="s">
        <v>88</v>
      </c>
      <c r="B152" s="12">
        <v>0.157</v>
      </c>
      <c r="F152" s="13"/>
      <c r="G152" s="15"/>
      <c r="H152" s="15"/>
      <c r="I152" s="14"/>
      <c r="J152" s="14"/>
    </row>
    <row r="153" spans="1:10">
      <c r="A153" s="13" t="s">
        <v>171</v>
      </c>
      <c r="B153" s="15">
        <v>0.161</v>
      </c>
      <c r="F153" s="10"/>
      <c r="G153" s="12"/>
      <c r="H153" s="12"/>
      <c r="I153" s="11"/>
      <c r="J153" s="11"/>
    </row>
    <row r="154" spans="1:10">
      <c r="A154" s="10" t="s">
        <v>172</v>
      </c>
      <c r="B154" s="12">
        <v>0.17399999999999999</v>
      </c>
      <c r="F154" s="13"/>
      <c r="G154" s="15"/>
      <c r="H154" s="15"/>
      <c r="I154" s="14"/>
      <c r="J154" s="14"/>
    </row>
    <row r="155" spans="1:10">
      <c r="A155" s="13" t="s">
        <v>89</v>
      </c>
      <c r="B155" s="15">
        <v>0.187</v>
      </c>
      <c r="F155" s="10"/>
      <c r="G155" s="12"/>
      <c r="H155" s="12"/>
      <c r="I155" s="11"/>
      <c r="J155" s="11"/>
    </row>
    <row r="156" spans="1:10" ht="43.5">
      <c r="A156" s="10" t="s">
        <v>173</v>
      </c>
      <c r="B156" s="12">
        <v>0.18099999999999999</v>
      </c>
      <c r="F156" s="13"/>
      <c r="G156" s="15"/>
      <c r="H156" s="15"/>
      <c r="I156" s="14"/>
      <c r="J156" s="14"/>
    </row>
    <row r="157" spans="1:10">
      <c r="A157" s="13" t="s">
        <v>174</v>
      </c>
      <c r="B157" s="15">
        <v>0.187</v>
      </c>
      <c r="F157" s="10"/>
      <c r="G157" s="12"/>
      <c r="H157" s="12"/>
      <c r="I157" s="11"/>
      <c r="J157" s="11"/>
    </row>
    <row r="158" spans="1:10">
      <c r="A158" s="10" t="s">
        <v>90</v>
      </c>
      <c r="B158" s="12">
        <v>0.252</v>
      </c>
      <c r="F158" s="13"/>
      <c r="G158" s="15"/>
      <c r="H158" s="15"/>
      <c r="I158" s="14"/>
      <c r="J158" s="14"/>
    </row>
    <row r="159" spans="1:10" ht="29.25">
      <c r="A159" s="13" t="s">
        <v>91</v>
      </c>
      <c r="B159" s="15">
        <v>0.19600000000000001</v>
      </c>
      <c r="F159" s="10"/>
      <c r="G159" s="12"/>
      <c r="H159" s="12"/>
      <c r="I159" s="11"/>
      <c r="J159" s="11"/>
    </row>
    <row r="160" spans="1:10">
      <c r="A160" s="10" t="s">
        <v>36</v>
      </c>
      <c r="B160" s="12">
        <v>0.104</v>
      </c>
      <c r="F160" s="13"/>
      <c r="G160" s="15"/>
      <c r="H160" s="15"/>
      <c r="I160" s="14"/>
      <c r="J160" s="14"/>
    </row>
    <row r="161" spans="1:10">
      <c r="A161" s="13" t="s">
        <v>37</v>
      </c>
      <c r="B161" s="15">
        <v>9.8000000000000004E-2</v>
      </c>
      <c r="F161" s="10"/>
      <c r="G161" s="12"/>
      <c r="H161" s="12"/>
      <c r="I161" s="11"/>
      <c r="J161" s="11"/>
    </row>
    <row r="162" spans="1:10" ht="29.25">
      <c r="A162" s="10" t="s">
        <v>92</v>
      </c>
      <c r="B162" s="12">
        <v>0.21199999999999999</v>
      </c>
      <c r="F162" s="13"/>
      <c r="G162" s="15"/>
      <c r="H162" s="15"/>
      <c r="I162" s="14"/>
      <c r="J162" s="14"/>
    </row>
    <row r="163" spans="1:10">
      <c r="A163" s="13" t="s">
        <v>93</v>
      </c>
      <c r="B163" s="15">
        <v>0.224</v>
      </c>
      <c r="F163" s="10"/>
      <c r="G163" s="12"/>
      <c r="H163" s="12"/>
      <c r="I163" s="11"/>
      <c r="J163" s="11"/>
    </row>
    <row r="164" spans="1:10">
      <c r="A164" s="10" t="s">
        <v>38</v>
      </c>
      <c r="B164" s="12">
        <v>0.1</v>
      </c>
      <c r="F164" s="13"/>
      <c r="G164" s="15"/>
      <c r="H164" s="15"/>
      <c r="I164" s="14"/>
      <c r="J164" s="14"/>
    </row>
    <row r="165" spans="1:10">
      <c r="A165" s="13" t="s">
        <v>39</v>
      </c>
      <c r="B165" s="15">
        <v>0.23799999999999999</v>
      </c>
      <c r="F165" s="10"/>
      <c r="G165" s="12"/>
      <c r="H165" s="12"/>
      <c r="I165" s="11"/>
      <c r="J165" s="11"/>
    </row>
    <row r="166" spans="1:10">
      <c r="A166" s="10" t="s">
        <v>176</v>
      </c>
      <c r="B166" s="12">
        <v>0.19900000000000001</v>
      </c>
      <c r="F166" s="13"/>
      <c r="G166" s="15"/>
      <c r="H166" s="15"/>
      <c r="I166" s="14"/>
      <c r="J166" s="14"/>
    </row>
    <row r="167" spans="1:10" ht="43.5">
      <c r="A167" s="13" t="s">
        <v>177</v>
      </c>
      <c r="B167" s="15">
        <v>0.21199999999999999</v>
      </c>
      <c r="F167" s="10"/>
      <c r="G167" s="12"/>
      <c r="H167" s="12"/>
      <c r="I167" s="11"/>
      <c r="J167" s="11"/>
    </row>
    <row r="168" spans="1:10" ht="29.25">
      <c r="A168" s="10" t="s">
        <v>178</v>
      </c>
      <c r="B168" s="12">
        <v>0.21199999999999999</v>
      </c>
      <c r="F168" s="13"/>
      <c r="G168" s="15"/>
      <c r="H168" s="15"/>
      <c r="I168" s="14"/>
      <c r="J168" s="14"/>
    </row>
    <row r="169" spans="1:10" ht="72.75">
      <c r="A169" s="13" t="s">
        <v>179</v>
      </c>
      <c r="B169" s="15">
        <v>0.21199999999999999</v>
      </c>
      <c r="F169" s="10"/>
      <c r="G169" s="12"/>
      <c r="H169" s="12"/>
      <c r="I169" s="11"/>
      <c r="J169" s="11"/>
    </row>
    <row r="170" spans="1:10">
      <c r="A170" s="10" t="s">
        <v>180</v>
      </c>
      <c r="B170" s="12">
        <v>0.161</v>
      </c>
      <c r="F170" s="13"/>
      <c r="G170" s="15"/>
      <c r="H170" s="15"/>
      <c r="I170" s="14"/>
      <c r="J170" s="14"/>
    </row>
    <row r="171" spans="1:10" ht="29.25">
      <c r="A171" s="13" t="s">
        <v>181</v>
      </c>
      <c r="B171" s="15">
        <v>0.115</v>
      </c>
      <c r="F171" s="10"/>
      <c r="G171" s="12"/>
      <c r="H171" s="12"/>
      <c r="I171" s="11"/>
      <c r="J171" s="11"/>
    </row>
    <row r="172" spans="1:10" ht="43.5">
      <c r="A172" s="10" t="s">
        <v>182</v>
      </c>
      <c r="B172" s="12">
        <v>8.8999999999999996E-2</v>
      </c>
      <c r="F172" s="13"/>
      <c r="G172" s="15"/>
      <c r="H172" s="15"/>
      <c r="I172" s="14"/>
      <c r="J172" s="14"/>
    </row>
    <row r="173" spans="1:10" ht="29.25">
      <c r="A173" s="13" t="s">
        <v>40</v>
      </c>
      <c r="B173" s="15">
        <v>0.21</v>
      </c>
      <c r="F173" s="10"/>
      <c r="G173" s="12"/>
      <c r="H173" s="12"/>
      <c r="I173" s="11"/>
      <c r="J173" s="11"/>
    </row>
    <row r="174" spans="1:10">
      <c r="A174" s="10" t="s">
        <v>183</v>
      </c>
      <c r="B174" s="12">
        <v>0.14299999999999999</v>
      </c>
      <c r="F174" s="13"/>
      <c r="G174" s="15"/>
      <c r="H174" s="15"/>
      <c r="I174" s="14"/>
      <c r="J174" s="14"/>
    </row>
    <row r="175" spans="1:10">
      <c r="A175" s="13" t="s">
        <v>94</v>
      </c>
      <c r="B175" s="15">
        <v>0.10299999999999999</v>
      </c>
      <c r="F175" s="10"/>
      <c r="G175" s="12"/>
      <c r="H175" s="12"/>
      <c r="I175" s="11"/>
      <c r="J175" s="11"/>
    </row>
    <row r="176" spans="1:10" ht="29.25">
      <c r="A176" s="10" t="s">
        <v>184</v>
      </c>
      <c r="B176" s="12">
        <v>0.20599999999999999</v>
      </c>
      <c r="F176" s="13"/>
      <c r="G176" s="15"/>
      <c r="H176" s="15"/>
      <c r="I176" s="14"/>
      <c r="J176" s="14"/>
    </row>
    <row r="177" spans="1:10" ht="29.25">
      <c r="A177" s="13" t="s">
        <v>185</v>
      </c>
      <c r="B177" s="15">
        <v>0.15</v>
      </c>
      <c r="F177" s="10"/>
      <c r="G177" s="12"/>
      <c r="H177" s="12"/>
      <c r="I177" s="11"/>
      <c r="J177" s="11"/>
    </row>
    <row r="178" spans="1:10" ht="29.25">
      <c r="A178" s="10" t="s">
        <v>42</v>
      </c>
      <c r="B178" s="12">
        <v>0.10299999999999999</v>
      </c>
      <c r="F178" s="13"/>
      <c r="G178" s="15"/>
      <c r="H178" s="15"/>
      <c r="I178" s="14"/>
      <c r="J178" s="14"/>
    </row>
    <row r="179" spans="1:10" ht="57.75">
      <c r="A179" s="13" t="s">
        <v>233</v>
      </c>
      <c r="B179" s="15">
        <v>0.21199999999999999</v>
      </c>
      <c r="F179" s="10"/>
      <c r="G179" s="12"/>
      <c r="H179" s="12"/>
      <c r="I179" s="11"/>
      <c r="J179" s="11"/>
    </row>
    <row r="180" spans="1:10">
      <c r="A180" s="10" t="s">
        <v>95</v>
      </c>
      <c r="B180" s="12">
        <v>7.0999999999999994E-2</v>
      </c>
      <c r="F180" s="13"/>
      <c r="G180" s="15"/>
      <c r="H180" s="15"/>
      <c r="I180" s="14"/>
      <c r="J180" s="14"/>
    </row>
    <row r="181" spans="1:10">
      <c r="A181" s="13" t="s">
        <v>96</v>
      </c>
      <c r="B181" s="15">
        <v>8.7999999999999995E-2</v>
      </c>
      <c r="F181" s="10"/>
      <c r="G181" s="12"/>
      <c r="H181" s="12"/>
      <c r="I181" s="11"/>
      <c r="J181" s="11"/>
    </row>
    <row r="182" spans="1:10" ht="29.25">
      <c r="A182" s="10" t="s">
        <v>186</v>
      </c>
      <c r="B182" s="12">
        <v>0.161</v>
      </c>
      <c r="F182" s="13"/>
      <c r="G182" s="15"/>
      <c r="H182" s="15"/>
      <c r="I182" s="14"/>
      <c r="J182" s="14"/>
    </row>
    <row r="183" spans="1:10">
      <c r="A183" s="13" t="s">
        <v>234</v>
      </c>
      <c r="B183" s="15">
        <v>0.124</v>
      </c>
      <c r="F183" s="10"/>
      <c r="G183" s="12"/>
      <c r="H183" s="12"/>
      <c r="I183" s="11"/>
      <c r="J183" s="11"/>
    </row>
    <row r="184" spans="1:10" ht="29.25">
      <c r="A184" s="10" t="s">
        <v>43</v>
      </c>
      <c r="B184" s="12">
        <v>0.10100000000000001</v>
      </c>
      <c r="F184" s="13"/>
      <c r="G184" s="15"/>
      <c r="H184" s="15"/>
      <c r="I184" s="14"/>
      <c r="J184" s="14"/>
    </row>
    <row r="185" spans="1:10" ht="29.25">
      <c r="A185" s="13" t="s">
        <v>44</v>
      </c>
      <c r="B185" s="15">
        <v>0.105</v>
      </c>
      <c r="F185" s="10"/>
      <c r="G185" s="12"/>
      <c r="H185" s="12"/>
      <c r="I185" s="11"/>
      <c r="J185" s="11"/>
    </row>
    <row r="186" spans="1:10" ht="29.25">
      <c r="A186" s="10" t="s">
        <v>187</v>
      </c>
      <c r="B186" s="12">
        <v>0.14199999999999999</v>
      </c>
      <c r="F186" s="13"/>
      <c r="G186" s="15"/>
      <c r="H186" s="15"/>
      <c r="I186" s="14"/>
      <c r="J186" s="14"/>
    </row>
    <row r="187" spans="1:10">
      <c r="A187" s="13" t="s">
        <v>45</v>
      </c>
      <c r="B187" s="15">
        <v>0.1</v>
      </c>
      <c r="F187" s="10"/>
      <c r="G187" s="12"/>
      <c r="H187" s="12"/>
      <c r="I187" s="11"/>
      <c r="J187" s="11"/>
    </row>
    <row r="188" spans="1:10">
      <c r="A188" s="10" t="s">
        <v>97</v>
      </c>
      <c r="B188" s="12">
        <v>0.14799999999999999</v>
      </c>
      <c r="F188" s="13"/>
      <c r="G188" s="15"/>
      <c r="H188" s="15"/>
      <c r="I188" s="14"/>
      <c r="J188" s="14"/>
    </row>
    <row r="189" spans="1:10">
      <c r="A189" s="13" t="s">
        <v>188</v>
      </c>
      <c r="B189" s="15">
        <v>0.154</v>
      </c>
      <c r="F189" s="10"/>
      <c r="G189" s="12"/>
      <c r="H189" s="12"/>
      <c r="I189" s="11"/>
      <c r="J189" s="11"/>
    </row>
    <row r="190" spans="1:10">
      <c r="A190" s="10" t="s">
        <v>189</v>
      </c>
      <c r="B190" s="12">
        <v>0.187</v>
      </c>
      <c r="F190" s="13"/>
      <c r="G190" s="15"/>
      <c r="H190" s="15"/>
      <c r="I190" s="14"/>
      <c r="J190" s="14"/>
    </row>
    <row r="191" spans="1:10">
      <c r="A191" s="13" t="s">
        <v>46</v>
      </c>
      <c r="B191" s="15">
        <v>0.13300000000000001</v>
      </c>
      <c r="F191" s="10"/>
      <c r="G191" s="12"/>
      <c r="H191" s="12"/>
      <c r="I191" s="11"/>
      <c r="J191" s="11"/>
    </row>
    <row r="192" spans="1:10" ht="29.25">
      <c r="A192" s="10" t="s">
        <v>47</v>
      </c>
      <c r="B192" s="12">
        <v>0.109</v>
      </c>
      <c r="F192" s="13"/>
      <c r="G192" s="15"/>
      <c r="H192" s="15"/>
      <c r="I192" s="14"/>
      <c r="J192" s="14"/>
    </row>
    <row r="193" spans="1:10">
      <c r="A193" s="13" t="s">
        <v>190</v>
      </c>
      <c r="B193" s="15">
        <v>0.20699999999999999</v>
      </c>
      <c r="F193" s="10"/>
      <c r="G193" s="12"/>
      <c r="H193" s="12"/>
      <c r="I193" s="11"/>
      <c r="J193" s="11"/>
    </row>
    <row r="194" spans="1:10">
      <c r="A194" s="10" t="s">
        <v>98</v>
      </c>
      <c r="B194" s="12">
        <v>0.1</v>
      </c>
      <c r="F194" s="13"/>
      <c r="G194" s="15"/>
      <c r="H194" s="15"/>
      <c r="I194" s="14"/>
      <c r="J194" s="14"/>
    </row>
    <row r="195" spans="1:10">
      <c r="A195" s="13" t="s">
        <v>191</v>
      </c>
      <c r="B195" s="15">
        <v>0.121</v>
      </c>
      <c r="F195" s="10"/>
      <c r="G195" s="12"/>
      <c r="H195" s="12"/>
      <c r="I195" s="11"/>
      <c r="J195" s="11"/>
    </row>
    <row r="196" spans="1:10">
      <c r="A196" s="10" t="s">
        <v>192</v>
      </c>
      <c r="B196" s="12">
        <v>0.18099999999999999</v>
      </c>
      <c r="F196" s="13"/>
      <c r="G196" s="15"/>
      <c r="H196" s="15"/>
      <c r="I196" s="14"/>
      <c r="J196" s="14"/>
    </row>
    <row r="197" spans="1:10">
      <c r="A197" s="13" t="s">
        <v>99</v>
      </c>
      <c r="B197" s="15">
        <v>0.187</v>
      </c>
      <c r="F197" s="10"/>
      <c r="G197" s="12"/>
      <c r="H197" s="12"/>
      <c r="I197" s="11"/>
      <c r="J197" s="11"/>
    </row>
    <row r="198" spans="1:10">
      <c r="A198" s="10" t="s">
        <v>194</v>
      </c>
      <c r="B198" s="12">
        <v>0.14799999999999999</v>
      </c>
      <c r="F198" s="13"/>
      <c r="G198" s="15"/>
      <c r="H198" s="15"/>
      <c r="I198" s="14"/>
      <c r="J198" s="14"/>
    </row>
    <row r="199" spans="1:10">
      <c r="A199" s="13" t="s">
        <v>195</v>
      </c>
      <c r="B199" s="15">
        <v>0.161</v>
      </c>
      <c r="F199" s="10"/>
      <c r="G199" s="12"/>
      <c r="H199" s="12"/>
      <c r="I199" s="11"/>
      <c r="J199" s="11"/>
    </row>
    <row r="200" spans="1:10" ht="43.5">
      <c r="A200" s="10" t="s">
        <v>196</v>
      </c>
      <c r="B200" s="12">
        <v>0.187</v>
      </c>
      <c r="F200" s="13"/>
      <c r="G200" s="15"/>
      <c r="H200" s="15"/>
      <c r="I200" s="14"/>
      <c r="J200" s="14"/>
    </row>
    <row r="201" spans="1:10">
      <c r="A201" s="13" t="s">
        <v>101</v>
      </c>
      <c r="B201" s="15">
        <v>0.109</v>
      </c>
      <c r="F201" s="10"/>
      <c r="G201" s="12"/>
      <c r="H201" s="12"/>
      <c r="I201" s="11"/>
      <c r="J201" s="11"/>
    </row>
    <row r="202" spans="1:10">
      <c r="A202" s="10" t="s">
        <v>48</v>
      </c>
      <c r="B202" s="12">
        <v>0.188</v>
      </c>
      <c r="F202" s="13"/>
      <c r="G202" s="15"/>
      <c r="H202" s="15"/>
      <c r="I202" s="14"/>
      <c r="J202" s="14"/>
    </row>
    <row r="203" spans="1:10" ht="29.25">
      <c r="A203" s="13" t="s">
        <v>197</v>
      </c>
      <c r="B203" s="15">
        <v>0.184</v>
      </c>
      <c r="F203" s="10"/>
      <c r="G203" s="12"/>
      <c r="H203" s="12"/>
      <c r="I203" s="11"/>
      <c r="J203" s="11"/>
    </row>
    <row r="204" spans="1:10" ht="43.5">
      <c r="A204" s="10" t="s">
        <v>235</v>
      </c>
      <c r="B204" s="12">
        <v>0.21199999999999999</v>
      </c>
      <c r="F204" s="13"/>
      <c r="G204" s="15"/>
      <c r="H204" s="15"/>
      <c r="I204" s="14"/>
      <c r="J204" s="14"/>
    </row>
    <row r="205" spans="1:10">
      <c r="A205" s="13" t="s">
        <v>198</v>
      </c>
      <c r="B205" s="15">
        <v>0.161</v>
      </c>
      <c r="F205" s="10"/>
      <c r="G205" s="12"/>
      <c r="H205" s="12"/>
      <c r="I205" s="11"/>
      <c r="J205" s="11"/>
    </row>
    <row r="206" spans="1:10">
      <c r="A206" s="10" t="s">
        <v>199</v>
      </c>
      <c r="B206" s="12">
        <v>0.193</v>
      </c>
      <c r="F206" s="13"/>
      <c r="G206" s="15"/>
      <c r="H206" s="15"/>
      <c r="I206" s="14"/>
      <c r="J206" s="14"/>
    </row>
    <row r="207" spans="1:10">
      <c r="A207" s="13" t="s">
        <v>50</v>
      </c>
      <c r="B207" s="15">
        <v>0.13600000000000001</v>
      </c>
      <c r="F207" s="10"/>
      <c r="G207" s="12"/>
      <c r="H207" s="12"/>
      <c r="I207" s="11"/>
      <c r="J207" s="11"/>
    </row>
    <row r="208" spans="1:10" ht="43.5">
      <c r="A208" s="10" t="s">
        <v>49</v>
      </c>
      <c r="B208" s="12">
        <v>0.153</v>
      </c>
      <c r="F208" s="13"/>
      <c r="G208" s="15"/>
      <c r="H208" s="15"/>
      <c r="I208" s="14"/>
      <c r="J208" s="14"/>
    </row>
    <row r="209" spans="1:10" ht="29.25">
      <c r="A209" s="13" t="s">
        <v>14</v>
      </c>
      <c r="B209" s="15">
        <v>0.10199999999999999</v>
      </c>
      <c r="F209" s="10"/>
      <c r="G209" s="12"/>
      <c r="H209" s="12"/>
      <c r="I209" s="11"/>
      <c r="J209" s="11"/>
    </row>
    <row r="210" spans="1:10" ht="29.25">
      <c r="A210" s="10" t="s">
        <v>51</v>
      </c>
      <c r="B210" s="12">
        <v>0.20899999999999999</v>
      </c>
      <c r="F210" s="13"/>
      <c r="G210" s="15"/>
      <c r="H210" s="15"/>
      <c r="I210" s="14"/>
      <c r="J210" s="14"/>
    </row>
    <row r="211" spans="1:10">
      <c r="A211" s="13" t="s">
        <v>102</v>
      </c>
      <c r="B211" s="15">
        <v>0.17</v>
      </c>
      <c r="F211" s="10"/>
      <c r="G211" s="12"/>
      <c r="H211" s="12"/>
      <c r="I211" s="11"/>
      <c r="J211" s="11"/>
    </row>
    <row r="212" spans="1:10" ht="29.25">
      <c r="A212" s="10" t="s">
        <v>200</v>
      </c>
      <c r="B212" s="12">
        <v>0.17399999999999999</v>
      </c>
      <c r="F212" s="13"/>
      <c r="G212" s="15"/>
      <c r="H212" s="15"/>
      <c r="I212" s="14"/>
      <c r="J212" s="14"/>
    </row>
    <row r="213" spans="1:10">
      <c r="A213" s="13" t="s">
        <v>201</v>
      </c>
      <c r="B213" s="15">
        <v>0.161</v>
      </c>
      <c r="F213" s="10"/>
      <c r="G213" s="12"/>
      <c r="H213" s="12"/>
      <c r="I213" s="11"/>
      <c r="J213" s="11"/>
    </row>
    <row r="214" spans="1:10" ht="29.25">
      <c r="A214" s="10" t="s">
        <v>103</v>
      </c>
      <c r="B214" s="12">
        <v>0.189</v>
      </c>
      <c r="F214" s="13"/>
      <c r="G214" s="15"/>
      <c r="H214" s="15"/>
      <c r="I214" s="14"/>
      <c r="J214" s="14"/>
    </row>
    <row r="215" spans="1:10">
      <c r="A215" s="13" t="s">
        <v>104</v>
      </c>
      <c r="B215" s="15">
        <v>0.16400000000000001</v>
      </c>
      <c r="F215" s="10"/>
      <c r="G215" s="12"/>
      <c r="H215" s="12"/>
      <c r="I215" s="11"/>
      <c r="J215" s="11"/>
    </row>
    <row r="216" spans="1:10">
      <c r="A216" s="10" t="s">
        <v>202</v>
      </c>
      <c r="B216" s="12">
        <v>0.217</v>
      </c>
      <c r="F216" s="13"/>
      <c r="G216" s="15"/>
      <c r="H216" s="15"/>
      <c r="I216" s="14"/>
      <c r="J216" s="14"/>
    </row>
    <row r="217" spans="1:10">
      <c r="A217" s="13" t="s">
        <v>203</v>
      </c>
      <c r="B217" s="15">
        <v>0.23200000000000001</v>
      </c>
      <c r="F217" s="10"/>
      <c r="G217" s="12"/>
      <c r="H217" s="12"/>
      <c r="I217" s="11"/>
      <c r="J217" s="11"/>
    </row>
    <row r="218" spans="1:10" ht="29.25">
      <c r="A218" s="10" t="s">
        <v>204</v>
      </c>
      <c r="B218" s="12">
        <v>0.21099999999999999</v>
      </c>
      <c r="F218" s="10"/>
      <c r="G218" s="11"/>
      <c r="H218" s="12"/>
      <c r="I218" s="11"/>
      <c r="J218" s="11"/>
    </row>
    <row r="219" spans="1:10">
      <c r="F219" s="13"/>
      <c r="G219" s="14"/>
      <c r="H219" s="15"/>
      <c r="I219" s="14"/>
      <c r="J219" s="14"/>
    </row>
    <row r="220" spans="1:10">
      <c r="F220" s="10"/>
      <c r="G220" s="11"/>
      <c r="H220" s="12"/>
      <c r="I220" s="11"/>
      <c r="J220" s="11"/>
    </row>
    <row r="221" spans="1:10">
      <c r="F221" s="13"/>
      <c r="G221" s="14"/>
      <c r="H221" s="15"/>
      <c r="I221" s="14"/>
      <c r="J221" s="14"/>
    </row>
    <row r="222" spans="1:10">
      <c r="F222" s="10"/>
      <c r="G222" s="11"/>
      <c r="H222" s="11"/>
      <c r="I222" s="11"/>
      <c r="J222" s="11"/>
    </row>
    <row r="223" spans="1:10">
      <c r="F223" s="13"/>
      <c r="G223" s="14"/>
      <c r="H223" s="14"/>
      <c r="I223" s="14"/>
      <c r="J223" s="14"/>
    </row>
    <row r="224" spans="1:10">
      <c r="F224" s="10"/>
      <c r="G224" s="11"/>
      <c r="H224" s="12"/>
      <c r="I224" s="11"/>
      <c r="J224" s="11"/>
    </row>
    <row r="225" spans="6:10">
      <c r="F225" s="13"/>
      <c r="G225" s="15"/>
      <c r="H225" s="15"/>
      <c r="I225" s="18"/>
      <c r="J225" s="19"/>
    </row>
    <row r="226" spans="6:10">
      <c r="F226" s="10"/>
      <c r="G226" s="12"/>
      <c r="H226" s="12"/>
      <c r="I226" s="16"/>
      <c r="J226" s="17"/>
    </row>
    <row r="227" spans="6:10">
      <c r="F227" s="13"/>
      <c r="G227" s="15"/>
      <c r="H227" s="15"/>
      <c r="I227" s="18"/>
      <c r="J227" s="19"/>
    </row>
    <row r="228" spans="6:10">
      <c r="F228" s="10"/>
      <c r="G228" s="11"/>
      <c r="H228" s="12"/>
      <c r="I228" s="11"/>
      <c r="J228" s="11"/>
    </row>
    <row r="229" spans="6:10">
      <c r="F229" s="13"/>
      <c r="G229" s="15"/>
      <c r="H229" s="15"/>
      <c r="I229" s="18"/>
      <c r="J229" s="19"/>
    </row>
    <row r="230" spans="6:10">
      <c r="F230" s="10"/>
      <c r="G230" s="12"/>
      <c r="H230" s="12"/>
      <c r="I230" s="16"/>
      <c r="J230" s="17"/>
    </row>
    <row r="231" spans="6:10">
      <c r="F231" s="13"/>
      <c r="G231" s="14"/>
      <c r="H231" s="15"/>
      <c r="I231" s="14"/>
      <c r="J231" s="14"/>
    </row>
    <row r="232" spans="6:10">
      <c r="F232" s="10"/>
      <c r="G232" s="11"/>
      <c r="H232" s="12"/>
      <c r="I232" s="11"/>
      <c r="J232" s="11"/>
    </row>
    <row r="233" spans="6:10">
      <c r="F233" s="13"/>
      <c r="G233" s="14"/>
      <c r="H233" s="15"/>
      <c r="I233" s="14"/>
      <c r="J233" s="14"/>
    </row>
    <row r="234" spans="6:10">
      <c r="F234" s="10"/>
      <c r="G234" s="12"/>
      <c r="H234" s="12"/>
      <c r="I234" s="16"/>
      <c r="J234" s="17"/>
    </row>
    <row r="235" spans="6:10">
      <c r="F235" s="13"/>
      <c r="G235" s="14"/>
      <c r="H235" s="15"/>
      <c r="I235" s="14"/>
      <c r="J235" s="14"/>
    </row>
    <row r="236" spans="6:10">
      <c r="F236" s="10"/>
      <c r="G236" s="12"/>
      <c r="H236" s="12"/>
      <c r="I236" s="16"/>
      <c r="J236" s="17"/>
    </row>
    <row r="237" spans="6:10">
      <c r="F237" s="13"/>
      <c r="G237" s="15"/>
      <c r="H237" s="15"/>
      <c r="I237" s="18"/>
      <c r="J237" s="19"/>
    </row>
    <row r="238" spans="6:10">
      <c r="F238" s="10"/>
      <c r="G238" s="12"/>
      <c r="H238" s="12"/>
      <c r="I238" s="16"/>
      <c r="J238" s="17"/>
    </row>
    <row r="239" spans="6:10">
      <c r="F239" s="13"/>
      <c r="G239" s="15"/>
      <c r="H239" s="15"/>
      <c r="I239" s="18"/>
      <c r="J239" s="19"/>
    </row>
    <row r="240" spans="6:10">
      <c r="F240" s="10"/>
      <c r="G240" s="12"/>
      <c r="H240" s="12"/>
      <c r="I240" s="16"/>
      <c r="J240" s="17"/>
    </row>
    <row r="241" spans="6:10">
      <c r="F241" s="13"/>
      <c r="G241" s="15"/>
      <c r="H241" s="15"/>
      <c r="I241" s="18"/>
      <c r="J241" s="19"/>
    </row>
    <row r="242" spans="6:10">
      <c r="F242" s="10"/>
      <c r="G242" s="12"/>
      <c r="H242" s="12"/>
      <c r="I242" s="16"/>
      <c r="J242" s="17"/>
    </row>
    <row r="243" spans="6:10">
      <c r="F243" s="13"/>
      <c r="G243" s="15"/>
      <c r="H243" s="15"/>
      <c r="I243" s="18"/>
      <c r="J243" s="19"/>
    </row>
    <row r="244" spans="6:10">
      <c r="F244" s="10"/>
      <c r="G244" s="12"/>
      <c r="H244" s="12"/>
      <c r="I244" s="16"/>
      <c r="J244" s="17"/>
    </row>
    <row r="245" spans="6:10">
      <c r="F245" s="13"/>
      <c r="G245" s="15"/>
      <c r="H245" s="15"/>
      <c r="I245" s="18"/>
      <c r="J245" s="19"/>
    </row>
    <row r="246" spans="6:10">
      <c r="F246" s="10"/>
      <c r="G246" s="12"/>
      <c r="H246" s="12"/>
      <c r="I246" s="16"/>
      <c r="J246" s="17"/>
    </row>
    <row r="247" spans="6:10">
      <c r="F247" s="13"/>
      <c r="G247" s="14"/>
      <c r="H247" s="15"/>
      <c r="I247" s="14"/>
      <c r="J247" s="14"/>
    </row>
    <row r="248" spans="6:10">
      <c r="F248" s="10"/>
      <c r="G248" s="11"/>
      <c r="H248" s="12"/>
      <c r="I248" s="11"/>
      <c r="J248" s="11"/>
    </row>
    <row r="249" spans="6:10">
      <c r="F249" s="13"/>
      <c r="G249" s="14"/>
      <c r="H249" s="15"/>
      <c r="I249" s="14"/>
      <c r="J249" s="14"/>
    </row>
    <row r="250" spans="6:10">
      <c r="F250" s="10"/>
      <c r="G250" s="12"/>
      <c r="H250" s="12"/>
      <c r="I250" s="16"/>
      <c r="J250" s="17"/>
    </row>
    <row r="251" spans="6:10">
      <c r="F251" s="13"/>
      <c r="G251" s="14"/>
      <c r="H251" s="15"/>
      <c r="I251" s="14"/>
      <c r="J251" s="14"/>
    </row>
    <row r="252" spans="6:10">
      <c r="F252" s="10"/>
      <c r="G252" s="11"/>
      <c r="H252" s="12"/>
      <c r="I252" s="11"/>
      <c r="J252" s="11"/>
    </row>
    <row r="253" spans="6:10">
      <c r="F253" s="13"/>
      <c r="G253" s="14"/>
      <c r="H253" s="15"/>
      <c r="I253" s="14"/>
      <c r="J253" s="14"/>
    </row>
    <row r="254" spans="6:10">
      <c r="F254" s="10"/>
      <c r="G254" s="12"/>
      <c r="H254" s="12"/>
      <c r="I254" s="16"/>
      <c r="J254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9A5EA-65C1-417C-B7DC-FC05C728BA2D}">
  <dimension ref="A1:G37"/>
  <sheetViews>
    <sheetView workbookViewId="0">
      <selection activeCell="C37" sqref="C37"/>
    </sheetView>
  </sheetViews>
  <sheetFormatPr defaultRowHeight="15"/>
  <sheetData>
    <row r="1" spans="1:7" ht="121.5">
      <c r="A1" s="58" t="s">
        <v>0</v>
      </c>
      <c r="B1" s="58" t="s">
        <v>236</v>
      </c>
      <c r="C1" s="58"/>
      <c r="D1" s="3"/>
      <c r="E1" s="3"/>
      <c r="F1" s="3"/>
      <c r="G1" s="3"/>
    </row>
    <row r="2" spans="1:7" ht="15.75">
      <c r="A2" s="59" t="s">
        <v>4</v>
      </c>
      <c r="B2" s="60">
        <v>17.8</v>
      </c>
      <c r="C2" s="61"/>
      <c r="D2" s="56"/>
      <c r="E2" s="4"/>
      <c r="F2" s="4"/>
      <c r="G2" s="4"/>
    </row>
    <row r="3" spans="1:7" ht="15.75">
      <c r="A3" s="59" t="s">
        <v>5</v>
      </c>
      <c r="B3" s="60">
        <v>26.6</v>
      </c>
      <c r="C3" s="61"/>
      <c r="D3" s="56"/>
      <c r="E3" s="4"/>
      <c r="F3" s="4"/>
      <c r="G3" s="4"/>
    </row>
    <row r="4" spans="1:7" ht="15.75">
      <c r="A4" s="59" t="s">
        <v>6</v>
      </c>
      <c r="B4" s="60">
        <v>28.9</v>
      </c>
      <c r="C4" s="61"/>
      <c r="D4" s="56"/>
      <c r="E4" s="4"/>
      <c r="F4" s="4"/>
      <c r="G4" s="4"/>
    </row>
    <row r="5" spans="1:7" ht="15.75">
      <c r="A5" s="59" t="s">
        <v>9</v>
      </c>
      <c r="B5" s="60">
        <v>17.3</v>
      </c>
      <c r="C5" s="61"/>
      <c r="D5" s="56"/>
      <c r="E5" s="4"/>
      <c r="F5" s="4"/>
      <c r="G5" s="4"/>
    </row>
    <row r="6" spans="1:7" ht="15.75">
      <c r="A6" s="59" t="s">
        <v>10</v>
      </c>
      <c r="B6" s="60">
        <v>10.9</v>
      </c>
      <c r="C6" s="61"/>
      <c r="D6" s="56"/>
      <c r="E6" s="4"/>
      <c r="F6" s="4"/>
      <c r="G6" s="4"/>
    </row>
    <row r="7" spans="1:7" ht="15.75">
      <c r="A7" s="59" t="s">
        <v>65</v>
      </c>
      <c r="B7" s="60">
        <v>18.7</v>
      </c>
      <c r="C7" s="61"/>
      <c r="D7" s="56"/>
      <c r="E7" s="4"/>
      <c r="F7" s="4"/>
      <c r="G7" s="4"/>
    </row>
    <row r="8" spans="1:7" ht="15.75">
      <c r="A8" s="59" t="s">
        <v>13</v>
      </c>
      <c r="B8" s="60">
        <v>28</v>
      </c>
      <c r="C8" s="61"/>
      <c r="D8" s="56"/>
      <c r="E8" s="4"/>
      <c r="F8" s="4"/>
      <c r="G8" s="4"/>
    </row>
    <row r="9" spans="1:7" ht="15.75">
      <c r="A9" s="59" t="s">
        <v>69</v>
      </c>
      <c r="B9" s="60">
        <v>18.399999999999999</v>
      </c>
      <c r="C9" s="61"/>
      <c r="D9" s="56"/>
      <c r="E9" s="4"/>
      <c r="F9" s="4"/>
      <c r="G9" s="4"/>
    </row>
    <row r="10" spans="1:7" ht="15.75">
      <c r="A10" s="59" t="s">
        <v>15</v>
      </c>
      <c r="B10" s="60">
        <v>28.7</v>
      </c>
      <c r="C10" s="61"/>
      <c r="D10" s="56"/>
      <c r="E10" s="4"/>
      <c r="F10" s="4"/>
      <c r="G10" s="4"/>
    </row>
    <row r="11" spans="1:7" ht="15.75">
      <c r="A11" s="59" t="s">
        <v>16</v>
      </c>
      <c r="B11" s="60">
        <v>31.2</v>
      </c>
      <c r="C11" s="61"/>
      <c r="D11" s="56"/>
      <c r="E11" s="4"/>
      <c r="F11" s="4"/>
      <c r="G11" s="4"/>
    </row>
    <row r="12" spans="1:7" ht="15.75">
      <c r="A12" s="59" t="s">
        <v>17</v>
      </c>
      <c r="B12" s="60">
        <v>25.1</v>
      </c>
      <c r="C12" s="61"/>
      <c r="D12" s="56"/>
      <c r="E12" s="4"/>
      <c r="F12" s="4"/>
      <c r="G12" s="4"/>
    </row>
    <row r="13" spans="1:7" ht="15.75">
      <c r="A13" s="59" t="s">
        <v>18</v>
      </c>
      <c r="B13" s="60">
        <v>23.5</v>
      </c>
      <c r="C13" s="61"/>
      <c r="D13" s="56"/>
      <c r="E13" s="4"/>
      <c r="F13" s="4"/>
      <c r="G13" s="4"/>
    </row>
    <row r="14" spans="1:7" ht="15.75">
      <c r="A14" s="59" t="s">
        <v>73</v>
      </c>
      <c r="B14" s="60">
        <v>19.399999999999999</v>
      </c>
      <c r="C14" s="61"/>
      <c r="D14" s="56"/>
      <c r="E14" s="4"/>
      <c r="F14" s="4"/>
      <c r="G14" s="4"/>
    </row>
    <row r="15" spans="1:7" ht="15.75">
      <c r="A15" s="59" t="s">
        <v>20</v>
      </c>
      <c r="B15" s="60">
        <v>16</v>
      </c>
      <c r="C15" s="61"/>
      <c r="D15" s="56"/>
      <c r="E15" s="4"/>
      <c r="F15" s="4"/>
      <c r="G15" s="4"/>
    </row>
    <row r="16" spans="1:7" ht="15.75">
      <c r="A16" s="59" t="s">
        <v>21</v>
      </c>
      <c r="B16" s="60">
        <v>12.08</v>
      </c>
      <c r="C16" s="61"/>
      <c r="D16" s="56"/>
      <c r="E16" s="4"/>
      <c r="F16" s="4"/>
      <c r="G16" s="4"/>
    </row>
    <row r="17" spans="1:7" ht="15.75">
      <c r="A17" s="59" t="s">
        <v>23</v>
      </c>
      <c r="B17" s="60">
        <v>14.4</v>
      </c>
      <c r="C17" s="61"/>
      <c r="D17" s="56"/>
      <c r="E17" s="4"/>
      <c r="F17" s="4"/>
      <c r="G17" s="4"/>
    </row>
    <row r="18" spans="1:7" ht="15.75">
      <c r="A18" s="59" t="s">
        <v>24</v>
      </c>
      <c r="B18" s="60">
        <v>16</v>
      </c>
      <c r="C18" s="61"/>
      <c r="D18" s="56"/>
      <c r="E18" s="4"/>
      <c r="F18" s="4"/>
      <c r="G18" s="4"/>
    </row>
    <row r="19" spans="1:7" ht="15.75">
      <c r="A19" s="59" t="s">
        <v>25</v>
      </c>
      <c r="B19" s="60">
        <v>28.2</v>
      </c>
      <c r="C19" s="61"/>
      <c r="D19" s="56"/>
      <c r="E19" s="4"/>
      <c r="F19" s="4"/>
      <c r="G19" s="4"/>
    </row>
    <row r="20" spans="1:7" ht="15.75">
      <c r="A20" s="59" t="s">
        <v>27</v>
      </c>
      <c r="B20" s="60">
        <v>21.9</v>
      </c>
      <c r="C20" s="61"/>
      <c r="D20" s="56"/>
      <c r="E20" s="4"/>
      <c r="F20" s="4"/>
      <c r="G20" s="4"/>
    </row>
    <row r="21" spans="1:7" ht="15.75">
      <c r="A21" s="59" t="s">
        <v>80</v>
      </c>
      <c r="B21" s="60">
        <v>16.2</v>
      </c>
      <c r="C21" s="61"/>
      <c r="D21" s="56"/>
      <c r="E21" s="4"/>
      <c r="F21" s="4"/>
      <c r="G21" s="4"/>
    </row>
    <row r="22" spans="1:7" ht="15.75">
      <c r="A22" s="59" t="s">
        <v>28</v>
      </c>
      <c r="B22" s="60">
        <v>16.2</v>
      </c>
      <c r="C22" s="61"/>
      <c r="D22" s="56"/>
      <c r="E22" s="4"/>
      <c r="F22" s="4"/>
      <c r="G22" s="4"/>
    </row>
    <row r="23" spans="1:7" ht="15.75">
      <c r="A23" s="59" t="s">
        <v>82</v>
      </c>
      <c r="B23" s="60">
        <v>22.4</v>
      </c>
      <c r="C23" s="61"/>
      <c r="D23" s="56"/>
      <c r="E23" s="4"/>
      <c r="F23" s="4"/>
      <c r="G23" s="4"/>
    </row>
    <row r="24" spans="1:7" ht="15.75">
      <c r="A24" s="59" t="s">
        <v>31</v>
      </c>
      <c r="B24" s="60">
        <v>16.7</v>
      </c>
      <c r="C24" s="61"/>
      <c r="D24" s="56"/>
      <c r="E24" s="4"/>
      <c r="F24" s="4"/>
      <c r="G24" s="4"/>
    </row>
    <row r="25" spans="1:7" ht="15.75">
      <c r="A25" s="59" t="s">
        <v>32</v>
      </c>
      <c r="B25" s="60">
        <v>18.899999999999999</v>
      </c>
      <c r="C25" s="61"/>
      <c r="D25" s="56"/>
      <c r="E25" s="4"/>
      <c r="F25" s="4"/>
      <c r="G25" s="4"/>
    </row>
    <row r="26" spans="1:7" ht="15.75">
      <c r="A26" s="59" t="s">
        <v>35</v>
      </c>
      <c r="B26" s="60">
        <v>25</v>
      </c>
      <c r="C26" s="61"/>
      <c r="D26" s="56"/>
      <c r="E26" s="4"/>
      <c r="F26" s="4"/>
      <c r="G26" s="4"/>
    </row>
    <row r="27" spans="1:7" ht="15.75">
      <c r="A27" s="59" t="s">
        <v>36</v>
      </c>
      <c r="B27" s="60">
        <v>21.1</v>
      </c>
      <c r="C27" s="61"/>
      <c r="D27" s="56"/>
      <c r="E27" s="4"/>
      <c r="F27" s="4"/>
      <c r="G27" s="4"/>
    </row>
    <row r="28" spans="1:7" ht="15.75">
      <c r="A28" s="59" t="s">
        <v>37</v>
      </c>
      <c r="B28" s="60">
        <v>22.6</v>
      </c>
      <c r="C28" s="61"/>
      <c r="D28" s="56"/>
      <c r="E28" s="4"/>
      <c r="F28" s="4"/>
      <c r="G28" s="4"/>
    </row>
    <row r="29" spans="1:7" ht="15.75">
      <c r="A29" s="59" t="s">
        <v>95</v>
      </c>
      <c r="B29" s="60">
        <v>17</v>
      </c>
      <c r="C29" s="61"/>
      <c r="D29" s="56"/>
      <c r="E29" s="4"/>
      <c r="F29" s="4"/>
      <c r="G29" s="4"/>
    </row>
    <row r="30" spans="1:7" ht="15.75">
      <c r="A30" s="59" t="s">
        <v>96</v>
      </c>
      <c r="B30" s="60">
        <v>21.2</v>
      </c>
      <c r="C30" s="61"/>
      <c r="D30" s="56"/>
      <c r="E30" s="4"/>
      <c r="F30" s="4"/>
      <c r="G30" s="4"/>
    </row>
    <row r="31" spans="1:7" ht="15.75">
      <c r="A31" s="59" t="s">
        <v>44</v>
      </c>
      <c r="B31" s="60">
        <v>11.1</v>
      </c>
      <c r="C31" s="61"/>
      <c r="D31" s="56"/>
      <c r="E31" s="4"/>
      <c r="F31" s="4"/>
      <c r="G31" s="4"/>
    </row>
    <row r="32" spans="1:7" ht="15.75">
      <c r="A32" s="59" t="s">
        <v>45</v>
      </c>
      <c r="B32" s="60">
        <v>23.7</v>
      </c>
      <c r="C32" s="61"/>
      <c r="D32" s="56"/>
      <c r="E32" s="4"/>
      <c r="F32" s="4"/>
      <c r="G32" s="4"/>
    </row>
    <row r="33" spans="1:7" ht="15.75">
      <c r="A33" s="59" t="s">
        <v>46</v>
      </c>
      <c r="B33" s="60">
        <v>26.1</v>
      </c>
      <c r="C33" s="61"/>
      <c r="D33" s="56"/>
      <c r="E33" s="4"/>
      <c r="F33" s="4"/>
      <c r="G33" s="4"/>
    </row>
    <row r="34" spans="1:7" ht="15.75">
      <c r="A34" s="59" t="s">
        <v>47</v>
      </c>
      <c r="B34" s="60">
        <v>16</v>
      </c>
      <c r="C34" s="61"/>
      <c r="D34" s="56"/>
      <c r="E34" s="4"/>
      <c r="F34" s="4"/>
      <c r="G34" s="4"/>
    </row>
    <row r="35" spans="1:7" ht="15.75">
      <c r="A35" s="59" t="s">
        <v>48</v>
      </c>
      <c r="B35" s="60">
        <v>12.5</v>
      </c>
      <c r="C35" s="61"/>
      <c r="D35" s="56"/>
      <c r="E35" s="4"/>
      <c r="F35" s="4"/>
      <c r="G35" s="4"/>
    </row>
    <row r="36" spans="1:7" ht="15.75">
      <c r="A36" s="59" t="s">
        <v>14</v>
      </c>
      <c r="B36" s="60">
        <v>20.6</v>
      </c>
      <c r="C36" s="61"/>
      <c r="D36" s="56"/>
      <c r="E36" s="4"/>
      <c r="F36" s="4"/>
      <c r="G36" s="4"/>
    </row>
    <row r="37" spans="1:7" ht="15.75">
      <c r="A37" s="59" t="s">
        <v>51</v>
      </c>
      <c r="B37" s="60">
        <v>18.7</v>
      </c>
      <c r="C37" s="61"/>
      <c r="D37" s="56"/>
      <c r="E37" s="4"/>
      <c r="F37" s="4"/>
      <c r="G3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C514A-E0CE-4504-8E05-AE6865C13B27}">
  <dimension ref="A1:B131"/>
  <sheetViews>
    <sheetView topLeftCell="A86" workbookViewId="0">
      <selection activeCell="A35" sqref="A35"/>
    </sheetView>
  </sheetViews>
  <sheetFormatPr defaultRowHeight="15"/>
  <sheetData>
    <row r="1" spans="1:2">
      <c r="A1" t="s">
        <v>0</v>
      </c>
      <c r="B1" t="s">
        <v>237</v>
      </c>
    </row>
    <row r="2" spans="1:2">
      <c r="A2" s="9" t="s">
        <v>43</v>
      </c>
      <c r="B2" s="9">
        <v>0.63</v>
      </c>
    </row>
    <row r="3" spans="1:2">
      <c r="A3" s="9" t="s">
        <v>168</v>
      </c>
      <c r="B3" s="9">
        <v>0.57999999999999996</v>
      </c>
    </row>
    <row r="4" spans="1:2">
      <c r="A4" s="9" t="s">
        <v>203</v>
      </c>
      <c r="B4" s="9">
        <v>0.56999999999999995</v>
      </c>
    </row>
    <row r="5" spans="1:2">
      <c r="A5" s="9" t="s">
        <v>166</v>
      </c>
      <c r="B5" s="9">
        <v>0.56999999999999995</v>
      </c>
    </row>
    <row r="6" spans="1:2">
      <c r="A6" s="9" t="s">
        <v>26</v>
      </c>
      <c r="B6" s="9">
        <v>0.53</v>
      </c>
    </row>
    <row r="7" spans="1:2">
      <c r="A7" s="9" t="s">
        <v>61</v>
      </c>
      <c r="B7" s="9">
        <v>0.52</v>
      </c>
    </row>
    <row r="8" spans="1:2">
      <c r="A8" s="9" t="s">
        <v>108</v>
      </c>
      <c r="B8" s="9">
        <v>0.52</v>
      </c>
    </row>
    <row r="9" spans="1:2">
      <c r="A9" s="9" t="s">
        <v>7</v>
      </c>
      <c r="B9" s="9">
        <v>0.52</v>
      </c>
    </row>
    <row r="10" spans="1:2">
      <c r="A10" s="9" t="s">
        <v>119</v>
      </c>
      <c r="B10" s="9">
        <v>0.51</v>
      </c>
    </row>
    <row r="11" spans="1:2">
      <c r="A11" s="9" t="s">
        <v>204</v>
      </c>
      <c r="B11" s="9">
        <v>0.51</v>
      </c>
    </row>
    <row r="12" spans="1:2">
      <c r="A12" s="9" t="s">
        <v>175</v>
      </c>
      <c r="B12" s="9">
        <v>0.5</v>
      </c>
    </row>
    <row r="13" spans="1:2">
      <c r="A13" s="9" t="s">
        <v>89</v>
      </c>
      <c r="B13" s="9">
        <v>0.49</v>
      </c>
    </row>
    <row r="14" spans="1:2">
      <c r="A14" s="9" t="s">
        <v>62</v>
      </c>
      <c r="B14" s="9">
        <v>0.49</v>
      </c>
    </row>
    <row r="15" spans="1:2">
      <c r="A15" s="9" t="s">
        <v>124</v>
      </c>
      <c r="B15" s="9">
        <v>0.48</v>
      </c>
    </row>
    <row r="16" spans="1:2">
      <c r="A16" s="9" t="s">
        <v>147</v>
      </c>
      <c r="B16" s="9">
        <v>0.48</v>
      </c>
    </row>
    <row r="17" spans="1:2">
      <c r="A17" s="9" t="s">
        <v>71</v>
      </c>
      <c r="B17" s="9">
        <v>0.46</v>
      </c>
    </row>
    <row r="18" spans="1:2">
      <c r="A18" s="9" t="s">
        <v>121</v>
      </c>
      <c r="B18" s="9">
        <v>0.46</v>
      </c>
    </row>
    <row r="19" spans="1:2">
      <c r="A19" s="9" t="s">
        <v>30</v>
      </c>
      <c r="B19" s="9">
        <v>0.46</v>
      </c>
    </row>
    <row r="20" spans="1:2">
      <c r="A20" s="9" t="s">
        <v>169</v>
      </c>
      <c r="B20" s="9">
        <v>0.45</v>
      </c>
    </row>
    <row r="21" spans="1:2">
      <c r="A21" s="9" t="s">
        <v>174</v>
      </c>
      <c r="B21" s="9">
        <v>0.45</v>
      </c>
    </row>
    <row r="22" spans="1:2">
      <c r="A22" s="9" t="s">
        <v>10</v>
      </c>
      <c r="B22" s="9">
        <v>0.44</v>
      </c>
    </row>
    <row r="23" spans="1:2">
      <c r="A23" s="9" t="s">
        <v>152</v>
      </c>
      <c r="B23" s="9">
        <v>0.44</v>
      </c>
    </row>
    <row r="24" spans="1:2">
      <c r="A24" s="9" t="s">
        <v>141</v>
      </c>
      <c r="B24" s="9">
        <v>0.44</v>
      </c>
    </row>
    <row r="25" spans="1:2">
      <c r="A25" s="9" t="s">
        <v>156</v>
      </c>
      <c r="B25" s="9">
        <v>0.43</v>
      </c>
    </row>
    <row r="26" spans="1:2">
      <c r="A26" s="9" t="s">
        <v>199</v>
      </c>
      <c r="B26" s="9">
        <v>0.43</v>
      </c>
    </row>
    <row r="27" spans="1:2">
      <c r="A27" s="9" t="s">
        <v>90</v>
      </c>
      <c r="B27" s="9">
        <v>0.43</v>
      </c>
    </row>
    <row r="28" spans="1:2">
      <c r="A28" s="9" t="s">
        <v>3</v>
      </c>
      <c r="B28" s="9">
        <v>0.42</v>
      </c>
    </row>
    <row r="29" spans="1:2">
      <c r="A29" s="9" t="s">
        <v>117</v>
      </c>
      <c r="B29" s="9">
        <v>0.42</v>
      </c>
    </row>
    <row r="30" spans="1:2">
      <c r="A30" s="9" t="s">
        <v>176</v>
      </c>
      <c r="B30" s="9">
        <v>0.42</v>
      </c>
    </row>
    <row r="31" spans="1:2">
      <c r="A31" s="9" t="s">
        <v>8</v>
      </c>
      <c r="B31" s="9">
        <v>0.42</v>
      </c>
    </row>
    <row r="32" spans="1:2">
      <c r="A32" s="9" t="s">
        <v>91</v>
      </c>
      <c r="B32" s="9">
        <v>0.42</v>
      </c>
    </row>
    <row r="33" spans="1:2">
      <c r="A33" s="9" t="s">
        <v>194</v>
      </c>
      <c r="B33" s="9">
        <v>0.42</v>
      </c>
    </row>
    <row r="34" spans="1:2">
      <c r="A34" s="9" t="s">
        <v>48</v>
      </c>
      <c r="B34" s="9">
        <v>0.42</v>
      </c>
    </row>
    <row r="35" spans="1:2">
      <c r="A35" s="9" t="s">
        <v>51</v>
      </c>
      <c r="B35" s="9">
        <v>0.41</v>
      </c>
    </row>
    <row r="36" spans="1:2">
      <c r="A36" s="9" t="s">
        <v>146</v>
      </c>
      <c r="B36" s="9">
        <v>0.41</v>
      </c>
    </row>
    <row r="37" spans="1:2">
      <c r="A37" s="9" t="s">
        <v>115</v>
      </c>
      <c r="B37" s="9">
        <v>0.41</v>
      </c>
    </row>
    <row r="38" spans="1:2">
      <c r="A38" s="9" t="s">
        <v>74</v>
      </c>
      <c r="B38" s="9">
        <v>0.41</v>
      </c>
    </row>
    <row r="39" spans="1:2">
      <c r="A39" s="9" t="s">
        <v>66</v>
      </c>
      <c r="B39" s="9">
        <v>0.41</v>
      </c>
    </row>
    <row r="40" spans="1:2">
      <c r="A40" s="9" t="s">
        <v>173</v>
      </c>
      <c r="B40" s="9">
        <v>0.41</v>
      </c>
    </row>
    <row r="41" spans="1:2">
      <c r="A41" s="9" t="s">
        <v>192</v>
      </c>
      <c r="B41" s="9">
        <v>0.41</v>
      </c>
    </row>
    <row r="42" spans="1:2">
      <c r="A42" s="9" t="s">
        <v>97</v>
      </c>
      <c r="B42" s="9">
        <v>0.4</v>
      </c>
    </row>
    <row r="43" spans="1:2">
      <c r="A43" s="9" t="s">
        <v>157</v>
      </c>
      <c r="B43" s="9">
        <v>0.4</v>
      </c>
    </row>
    <row r="44" spans="1:2">
      <c r="A44" s="9" t="s">
        <v>122</v>
      </c>
      <c r="B44" s="9">
        <v>0.4</v>
      </c>
    </row>
    <row r="45" spans="1:2">
      <c r="A45" s="9" t="s">
        <v>102</v>
      </c>
      <c r="B45" s="9">
        <v>0.4</v>
      </c>
    </row>
    <row r="46" spans="1:2">
      <c r="A46" s="9" t="s">
        <v>78</v>
      </c>
      <c r="B46" s="9">
        <v>0.4</v>
      </c>
    </row>
    <row r="47" spans="1:2">
      <c r="A47" s="9" t="s">
        <v>29</v>
      </c>
      <c r="B47" s="9">
        <v>0.39</v>
      </c>
    </row>
    <row r="48" spans="1:2">
      <c r="A48" s="9" t="s">
        <v>151</v>
      </c>
      <c r="B48" s="9">
        <v>0.39</v>
      </c>
    </row>
    <row r="49" spans="1:2">
      <c r="A49" s="9" t="s">
        <v>84</v>
      </c>
      <c r="B49" s="9">
        <v>0.39</v>
      </c>
    </row>
    <row r="50" spans="1:2">
      <c r="A50" s="9" t="s">
        <v>183</v>
      </c>
      <c r="B50" s="9">
        <v>0.38</v>
      </c>
    </row>
    <row r="51" spans="1:2">
      <c r="A51" s="9" t="s">
        <v>24</v>
      </c>
      <c r="B51" s="9">
        <v>0.38</v>
      </c>
    </row>
    <row r="52" spans="1:2">
      <c r="A52" s="9" t="s">
        <v>22</v>
      </c>
      <c r="B52" s="9">
        <v>0.38</v>
      </c>
    </row>
    <row r="53" spans="1:2">
      <c r="A53" s="9" t="s">
        <v>133</v>
      </c>
      <c r="B53" s="9">
        <v>0.38</v>
      </c>
    </row>
    <row r="54" spans="1:2">
      <c r="A54" s="9" t="s">
        <v>148</v>
      </c>
      <c r="B54" s="9">
        <v>0.38</v>
      </c>
    </row>
    <row r="55" spans="1:2">
      <c r="A55" s="9" t="s">
        <v>139</v>
      </c>
      <c r="B55" s="9">
        <v>0.37</v>
      </c>
    </row>
    <row r="56" spans="1:2">
      <c r="A56" s="9" t="s">
        <v>170</v>
      </c>
      <c r="B56" s="9">
        <v>0.37</v>
      </c>
    </row>
    <row r="57" spans="1:2">
      <c r="A57" s="9" t="s">
        <v>116</v>
      </c>
      <c r="B57" s="9">
        <v>0.37</v>
      </c>
    </row>
    <row r="58" spans="1:2">
      <c r="A58" s="9" t="s">
        <v>162</v>
      </c>
      <c r="B58" s="9">
        <v>0.37</v>
      </c>
    </row>
    <row r="59" spans="1:2">
      <c r="A59" s="9" t="s">
        <v>127</v>
      </c>
      <c r="B59" s="9">
        <v>0.37</v>
      </c>
    </row>
    <row r="60" spans="1:2">
      <c r="A60" s="9" t="s">
        <v>28</v>
      </c>
      <c r="B60" s="9">
        <v>0.37</v>
      </c>
    </row>
    <row r="61" spans="1:2">
      <c r="A61" s="9" t="s">
        <v>39</v>
      </c>
      <c r="B61" s="9">
        <v>0.36</v>
      </c>
    </row>
    <row r="62" spans="1:2">
      <c r="A62" s="9" t="s">
        <v>165</v>
      </c>
      <c r="B62" s="9">
        <v>0.36</v>
      </c>
    </row>
    <row r="63" spans="1:2">
      <c r="A63" s="9" t="s">
        <v>25</v>
      </c>
      <c r="B63" s="9">
        <v>0.36</v>
      </c>
    </row>
    <row r="64" spans="1:2">
      <c r="A64" s="9" t="s">
        <v>137</v>
      </c>
      <c r="B64" s="9">
        <v>0.35</v>
      </c>
    </row>
    <row r="65" spans="1:2">
      <c r="A65" s="9" t="s">
        <v>70</v>
      </c>
      <c r="B65" s="9">
        <v>0.35</v>
      </c>
    </row>
    <row r="66" spans="1:2">
      <c r="A66" s="9" t="s">
        <v>21</v>
      </c>
      <c r="B66" s="9">
        <v>0.35</v>
      </c>
    </row>
    <row r="67" spans="1:2">
      <c r="A67" s="9" t="s">
        <v>99</v>
      </c>
      <c r="B67" s="9">
        <v>0.35</v>
      </c>
    </row>
    <row r="68" spans="1:2">
      <c r="A68" s="9" t="s">
        <v>33</v>
      </c>
      <c r="B68" s="9">
        <v>0.35</v>
      </c>
    </row>
    <row r="69" spans="1:2">
      <c r="A69" s="9" t="s">
        <v>104</v>
      </c>
      <c r="B69" s="9">
        <v>0.35</v>
      </c>
    </row>
    <row r="70" spans="1:2">
      <c r="A70" s="9" t="s">
        <v>82</v>
      </c>
      <c r="B70" s="9">
        <v>0.35</v>
      </c>
    </row>
    <row r="71" spans="1:2">
      <c r="A71" s="9" t="s">
        <v>200</v>
      </c>
      <c r="B71" s="9">
        <v>0.35</v>
      </c>
    </row>
    <row r="72" spans="1:2">
      <c r="A72" s="9" t="s">
        <v>38</v>
      </c>
      <c r="B72" s="9">
        <v>0.35</v>
      </c>
    </row>
    <row r="73" spans="1:2">
      <c r="A73" s="9" t="s">
        <v>14</v>
      </c>
      <c r="B73" s="9">
        <v>0.35</v>
      </c>
    </row>
    <row r="74" spans="1:2">
      <c r="A74" s="9" t="s">
        <v>94</v>
      </c>
      <c r="B74" s="9">
        <v>0.35</v>
      </c>
    </row>
    <row r="75" spans="1:2">
      <c r="A75" s="9" t="s">
        <v>45</v>
      </c>
      <c r="B75" s="9">
        <v>0.35</v>
      </c>
    </row>
    <row r="76" spans="1:2">
      <c r="A76" s="9" t="s">
        <v>80</v>
      </c>
      <c r="B76" s="9">
        <v>0.35</v>
      </c>
    </row>
    <row r="77" spans="1:2">
      <c r="A77" s="9" t="s">
        <v>191</v>
      </c>
      <c r="B77" s="9">
        <v>0.34</v>
      </c>
    </row>
    <row r="78" spans="1:2">
      <c r="A78" s="9" t="s">
        <v>188</v>
      </c>
      <c r="B78" s="9">
        <v>0.34</v>
      </c>
    </row>
    <row r="79" spans="1:2">
      <c r="A79" s="9" t="s">
        <v>140</v>
      </c>
      <c r="B79" s="9">
        <v>0.34</v>
      </c>
    </row>
    <row r="80" spans="1:2">
      <c r="A80" s="9" t="s">
        <v>4</v>
      </c>
      <c r="B80" s="9">
        <v>0.34</v>
      </c>
    </row>
    <row r="81" spans="1:2">
      <c r="A81" s="9" t="s">
        <v>18</v>
      </c>
      <c r="B81" s="9">
        <v>0.33</v>
      </c>
    </row>
    <row r="82" spans="1:2">
      <c r="A82" s="9" t="s">
        <v>9</v>
      </c>
      <c r="B82" s="9">
        <v>0.33</v>
      </c>
    </row>
    <row r="83" spans="1:2">
      <c r="A83" s="9" t="s">
        <v>118</v>
      </c>
      <c r="B83" s="9">
        <v>0.33</v>
      </c>
    </row>
    <row r="84" spans="1:2">
      <c r="A84" s="9" t="s">
        <v>47</v>
      </c>
      <c r="B84" s="9">
        <v>0.33</v>
      </c>
    </row>
    <row r="85" spans="1:2">
      <c r="A85" s="9" t="s">
        <v>37</v>
      </c>
      <c r="B85" s="9">
        <v>0.33</v>
      </c>
    </row>
    <row r="86" spans="1:2">
      <c r="A86" s="9" t="s">
        <v>167</v>
      </c>
      <c r="B86" s="9">
        <v>0.33</v>
      </c>
    </row>
    <row r="87" spans="1:2">
      <c r="A87" s="9" t="s">
        <v>58</v>
      </c>
      <c r="B87" s="9">
        <v>0.32</v>
      </c>
    </row>
    <row r="88" spans="1:2">
      <c r="A88" s="9" t="s">
        <v>68</v>
      </c>
      <c r="B88" s="9">
        <v>0.32</v>
      </c>
    </row>
    <row r="89" spans="1:2">
      <c r="A89" s="9" t="s">
        <v>86</v>
      </c>
      <c r="B89" s="9">
        <v>0.32</v>
      </c>
    </row>
    <row r="90" spans="1:2">
      <c r="A90" s="9" t="s">
        <v>164</v>
      </c>
      <c r="B90" s="9">
        <v>0.32</v>
      </c>
    </row>
    <row r="91" spans="1:2">
      <c r="A91" s="9" t="s">
        <v>16</v>
      </c>
      <c r="B91" s="9">
        <v>0.32</v>
      </c>
    </row>
    <row r="92" spans="1:2">
      <c r="A92" s="9" t="s">
        <v>81</v>
      </c>
      <c r="B92" s="9">
        <v>0.32</v>
      </c>
    </row>
    <row r="93" spans="1:2">
      <c r="A93" s="9" t="s">
        <v>184</v>
      </c>
      <c r="B93" s="9">
        <v>0.32</v>
      </c>
    </row>
    <row r="94" spans="1:2">
      <c r="A94" s="9" t="s">
        <v>17</v>
      </c>
      <c r="B94" s="9">
        <v>0.32</v>
      </c>
    </row>
    <row r="95" spans="1:2">
      <c r="A95" s="9" t="s">
        <v>101</v>
      </c>
      <c r="B95" s="9">
        <v>0.32</v>
      </c>
    </row>
    <row r="96" spans="1:2">
      <c r="A96" s="9" t="s">
        <v>55</v>
      </c>
      <c r="B96" s="9">
        <v>0.32</v>
      </c>
    </row>
    <row r="97" spans="1:2">
      <c r="A97" s="9" t="s">
        <v>64</v>
      </c>
      <c r="B97" s="9">
        <v>0.31</v>
      </c>
    </row>
    <row r="98" spans="1:2">
      <c r="A98" s="9" t="s">
        <v>76</v>
      </c>
      <c r="B98" s="9">
        <v>0.31</v>
      </c>
    </row>
    <row r="99" spans="1:2">
      <c r="A99" s="9" t="s">
        <v>27</v>
      </c>
      <c r="B99" s="9">
        <v>0.31</v>
      </c>
    </row>
    <row r="100" spans="1:2">
      <c r="A100" s="9" t="s">
        <v>23</v>
      </c>
      <c r="B100" s="9">
        <v>0.31</v>
      </c>
    </row>
    <row r="101" spans="1:2">
      <c r="A101" s="9" t="s">
        <v>88</v>
      </c>
      <c r="B101" s="9">
        <v>0.31</v>
      </c>
    </row>
    <row r="102" spans="1:2">
      <c r="A102" s="9" t="s">
        <v>138</v>
      </c>
      <c r="B102" s="9">
        <v>0.3</v>
      </c>
    </row>
    <row r="103" spans="1:2">
      <c r="A103" s="9" t="s">
        <v>5</v>
      </c>
      <c r="B103" s="9">
        <v>0.3</v>
      </c>
    </row>
    <row r="104" spans="1:2">
      <c r="A104" s="9" t="s">
        <v>73</v>
      </c>
      <c r="B104" s="9">
        <v>0.3</v>
      </c>
    </row>
    <row r="105" spans="1:2">
      <c r="A105" s="9" t="s">
        <v>83</v>
      </c>
      <c r="B105" s="9">
        <v>0.3</v>
      </c>
    </row>
    <row r="106" spans="1:2">
      <c r="A106" s="9" t="s">
        <v>75</v>
      </c>
      <c r="B106" s="9">
        <v>0.3</v>
      </c>
    </row>
    <row r="107" spans="1:2">
      <c r="A107" s="9" t="s">
        <v>46</v>
      </c>
      <c r="B107" s="9">
        <v>0.3</v>
      </c>
    </row>
    <row r="108" spans="1:2">
      <c r="A108" s="9" t="s">
        <v>69</v>
      </c>
      <c r="B108" s="9">
        <v>0.3</v>
      </c>
    </row>
    <row r="109" spans="1:2">
      <c r="A109" s="9" t="s">
        <v>85</v>
      </c>
      <c r="B109" s="9">
        <v>0.3</v>
      </c>
    </row>
    <row r="110" spans="1:2">
      <c r="A110" s="9" t="s">
        <v>36</v>
      </c>
      <c r="B110" s="9">
        <v>0.3</v>
      </c>
    </row>
    <row r="111" spans="1:2">
      <c r="A111" s="9" t="s">
        <v>143</v>
      </c>
      <c r="B111" s="9">
        <v>0.28999999999999998</v>
      </c>
    </row>
    <row r="112" spans="1:2">
      <c r="A112" s="9" t="s">
        <v>110</v>
      </c>
      <c r="B112" s="9">
        <v>0.28999999999999998</v>
      </c>
    </row>
    <row r="113" spans="1:2">
      <c r="A113" s="9" t="s">
        <v>63</v>
      </c>
      <c r="B113" s="9">
        <v>0.28999999999999998</v>
      </c>
    </row>
    <row r="114" spans="1:2">
      <c r="A114" s="9" t="s">
        <v>31</v>
      </c>
      <c r="B114" s="9">
        <v>0.28999999999999998</v>
      </c>
    </row>
    <row r="115" spans="1:2">
      <c r="A115" s="9" t="s">
        <v>150</v>
      </c>
      <c r="B115" s="9">
        <v>0.28999999999999998</v>
      </c>
    </row>
    <row r="116" spans="1:2">
      <c r="A116" s="9" t="s">
        <v>13</v>
      </c>
      <c r="B116" s="9">
        <v>0.28000000000000003</v>
      </c>
    </row>
    <row r="117" spans="1:2">
      <c r="A117" s="9" t="s">
        <v>238</v>
      </c>
      <c r="B117" s="9">
        <v>0.28000000000000003</v>
      </c>
    </row>
    <row r="118" spans="1:2">
      <c r="A118" s="9" t="s">
        <v>35</v>
      </c>
      <c r="B118" s="9">
        <v>0.28000000000000003</v>
      </c>
    </row>
    <row r="119" spans="1:2">
      <c r="A119" s="9" t="s">
        <v>77</v>
      </c>
      <c r="B119" s="9">
        <v>0.28000000000000003</v>
      </c>
    </row>
    <row r="120" spans="1:2">
      <c r="A120" s="9" t="s">
        <v>15</v>
      </c>
      <c r="B120" s="9">
        <v>0.27</v>
      </c>
    </row>
    <row r="121" spans="1:2">
      <c r="A121" s="9" t="s">
        <v>6</v>
      </c>
      <c r="B121" s="9">
        <v>0.27</v>
      </c>
    </row>
    <row r="122" spans="1:2">
      <c r="A122" s="9" t="s">
        <v>20</v>
      </c>
      <c r="B122" s="9">
        <v>0.26</v>
      </c>
    </row>
    <row r="123" spans="1:2">
      <c r="A123" s="9" t="s">
        <v>50</v>
      </c>
      <c r="B123" s="9">
        <v>0.26</v>
      </c>
    </row>
    <row r="124" spans="1:2">
      <c r="A124" s="9" t="s">
        <v>56</v>
      </c>
      <c r="B124" s="9">
        <v>0.26</v>
      </c>
    </row>
    <row r="125" spans="1:2">
      <c r="A125" s="9" t="s">
        <v>49</v>
      </c>
      <c r="B125" s="9">
        <v>0.26</v>
      </c>
    </row>
    <row r="126" spans="1:2">
      <c r="A126" s="9" t="s">
        <v>57</v>
      </c>
      <c r="B126" s="9">
        <v>0.25</v>
      </c>
    </row>
    <row r="127" spans="1:2">
      <c r="A127" s="9" t="s">
        <v>163</v>
      </c>
      <c r="B127" s="9">
        <v>0.25</v>
      </c>
    </row>
    <row r="128" spans="1:2">
      <c r="A128" s="9" t="s">
        <v>12</v>
      </c>
      <c r="B128" s="9">
        <v>0.25</v>
      </c>
    </row>
    <row r="129" spans="1:2">
      <c r="A129" s="9" t="s">
        <v>59</v>
      </c>
      <c r="B129" s="9">
        <v>0.25</v>
      </c>
    </row>
    <row r="130" spans="1:2">
      <c r="A130" s="9" t="s">
        <v>96</v>
      </c>
      <c r="B130" s="9">
        <v>0.24</v>
      </c>
    </row>
    <row r="131" spans="1:2">
      <c r="A131" s="9" t="s">
        <v>95</v>
      </c>
      <c r="B131" s="9">
        <v>0.23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A5EC-BF99-4454-8BA0-9CBF5E512387}">
  <dimension ref="A1:B30"/>
  <sheetViews>
    <sheetView topLeftCell="A122" workbookViewId="0">
      <selection activeCell="D2" sqref="D2:H167"/>
    </sheetView>
  </sheetViews>
  <sheetFormatPr defaultRowHeight="15"/>
  <sheetData>
    <row r="1" spans="1:2">
      <c r="A1" t="s">
        <v>0</v>
      </c>
      <c r="B1" t="s">
        <v>239</v>
      </c>
    </row>
    <row r="2" spans="1:2">
      <c r="A2" t="s">
        <v>62</v>
      </c>
      <c r="B2">
        <v>20.3</v>
      </c>
    </row>
    <row r="3" spans="1:2">
      <c r="A3" t="s">
        <v>24</v>
      </c>
      <c r="B3">
        <v>17.8</v>
      </c>
    </row>
    <row r="4" spans="1:2">
      <c r="A4" t="s">
        <v>69</v>
      </c>
      <c r="B4">
        <v>16.5</v>
      </c>
    </row>
    <row r="5" spans="1:2">
      <c r="A5" t="s">
        <v>80</v>
      </c>
      <c r="B5">
        <v>16</v>
      </c>
    </row>
    <row r="6" spans="1:2">
      <c r="A6" t="s">
        <v>27</v>
      </c>
      <c r="B6">
        <v>15.4</v>
      </c>
    </row>
    <row r="7" spans="1:2">
      <c r="A7" t="s">
        <v>51</v>
      </c>
      <c r="B7">
        <v>15.2</v>
      </c>
    </row>
    <row r="8" spans="1:2">
      <c r="A8" t="s">
        <v>240</v>
      </c>
      <c r="B8">
        <v>14.8</v>
      </c>
    </row>
    <row r="9" spans="1:2">
      <c r="A9" t="s">
        <v>45</v>
      </c>
      <c r="B9">
        <v>14.4</v>
      </c>
    </row>
    <row r="10" spans="1:2">
      <c r="A10" t="s">
        <v>241</v>
      </c>
      <c r="B10">
        <v>14</v>
      </c>
    </row>
    <row r="11" spans="1:2">
      <c r="A11" t="s">
        <v>28</v>
      </c>
      <c r="B11">
        <v>13.6</v>
      </c>
    </row>
    <row r="12" spans="1:2">
      <c r="A12" t="s">
        <v>25</v>
      </c>
      <c r="B12">
        <v>12.8</v>
      </c>
    </row>
    <row r="13" spans="1:2">
      <c r="A13" t="s">
        <v>18</v>
      </c>
      <c r="B13">
        <v>11.7</v>
      </c>
    </row>
    <row r="14" spans="1:2">
      <c r="A14" t="s">
        <v>14</v>
      </c>
      <c r="B14">
        <v>11.7</v>
      </c>
    </row>
    <row r="15" spans="1:2">
      <c r="A15" t="s">
        <v>9</v>
      </c>
      <c r="B15">
        <v>10.5</v>
      </c>
    </row>
    <row r="16" spans="1:2">
      <c r="A16" t="s">
        <v>31</v>
      </c>
      <c r="B16">
        <v>10</v>
      </c>
    </row>
    <row r="17" spans="1:2">
      <c r="A17" t="s">
        <v>37</v>
      </c>
      <c r="B17">
        <v>9.9</v>
      </c>
    </row>
    <row r="18" spans="1:2">
      <c r="A18" t="s">
        <v>5</v>
      </c>
      <c r="B18">
        <v>9.8000000000000007</v>
      </c>
    </row>
    <row r="19" spans="1:2">
      <c r="A19" t="s">
        <v>23</v>
      </c>
      <c r="B19">
        <v>9.6999999999999993</v>
      </c>
    </row>
    <row r="20" spans="1:2">
      <c r="A20" t="s">
        <v>82</v>
      </c>
      <c r="B20">
        <v>9.6</v>
      </c>
    </row>
    <row r="21" spans="1:2">
      <c r="A21" t="s">
        <v>46</v>
      </c>
      <c r="B21">
        <v>9.1999999999999993</v>
      </c>
    </row>
    <row r="22" spans="1:2">
      <c r="A22" t="s">
        <v>36</v>
      </c>
      <c r="B22">
        <v>8.8000000000000007</v>
      </c>
    </row>
    <row r="23" spans="1:2">
      <c r="A23" t="s">
        <v>16</v>
      </c>
      <c r="B23">
        <v>8.5</v>
      </c>
    </row>
    <row r="24" spans="1:2">
      <c r="A24" t="s">
        <v>242</v>
      </c>
      <c r="B24">
        <v>7.9</v>
      </c>
    </row>
    <row r="25" spans="1:2">
      <c r="A25" t="s">
        <v>35</v>
      </c>
      <c r="B25">
        <v>7.9</v>
      </c>
    </row>
    <row r="26" spans="1:2">
      <c r="A26" t="s">
        <v>6</v>
      </c>
      <c r="B26">
        <v>7.8</v>
      </c>
    </row>
    <row r="27" spans="1:2">
      <c r="A27" t="s">
        <v>96</v>
      </c>
      <c r="B27">
        <v>7.7</v>
      </c>
    </row>
    <row r="28" spans="1:2">
      <c r="A28" t="s">
        <v>73</v>
      </c>
      <c r="B28">
        <v>6.7</v>
      </c>
    </row>
    <row r="29" spans="1:2">
      <c r="A29" t="s">
        <v>15</v>
      </c>
      <c r="B29">
        <v>6.7</v>
      </c>
    </row>
    <row r="30" spans="1:2">
      <c r="A30" t="s">
        <v>12</v>
      </c>
      <c r="B30">
        <v>6.4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D68FE-3C5C-41D0-9FAA-E2AF8D9F1152}">
  <dimension ref="A1:F168"/>
  <sheetViews>
    <sheetView workbookViewId="0"/>
  </sheetViews>
  <sheetFormatPr defaultRowHeight="15"/>
  <sheetData>
    <row r="1" spans="1:6">
      <c r="A1" s="38" t="s">
        <v>0</v>
      </c>
      <c r="B1" s="38" t="s">
        <v>243</v>
      </c>
      <c r="C1" s="38"/>
      <c r="D1" s="38"/>
      <c r="E1" s="38"/>
      <c r="F1" s="38"/>
    </row>
    <row r="2" spans="1:6" ht="18">
      <c r="A2" s="68" t="s">
        <v>55</v>
      </c>
      <c r="B2" s="69"/>
      <c r="C2" s="69"/>
      <c r="D2" s="70"/>
      <c r="E2" s="70"/>
      <c r="F2" s="38"/>
    </row>
    <row r="3" spans="1:6" ht="18">
      <c r="A3" s="68" t="s">
        <v>56</v>
      </c>
      <c r="B3" s="70"/>
      <c r="C3" s="70"/>
      <c r="D3" s="70"/>
      <c r="E3" s="70"/>
      <c r="F3" s="38"/>
    </row>
    <row r="4" spans="1:6" ht="18">
      <c r="A4" s="68" t="s">
        <v>108</v>
      </c>
      <c r="B4" s="69">
        <v>0.31119999999999998</v>
      </c>
      <c r="C4" s="69"/>
      <c r="D4" s="70"/>
      <c r="E4" s="70"/>
      <c r="F4" s="38"/>
    </row>
    <row r="5" spans="1:6" ht="18">
      <c r="A5" s="68" t="s">
        <v>110</v>
      </c>
      <c r="B5" s="69">
        <v>7.7999999999999996E-3</v>
      </c>
      <c r="C5" s="69"/>
      <c r="D5" s="70"/>
      <c r="E5" s="70"/>
      <c r="F5" s="38"/>
    </row>
    <row r="6" spans="1:6" ht="30.75">
      <c r="A6" s="68" t="s">
        <v>4</v>
      </c>
      <c r="B6" s="69">
        <v>5.0000000000000001E-3</v>
      </c>
      <c r="C6" s="69"/>
      <c r="D6" s="70"/>
      <c r="E6" s="70"/>
      <c r="F6" s="38"/>
    </row>
    <row r="7" spans="1:6" ht="18">
      <c r="A7" s="68" t="s">
        <v>5</v>
      </c>
      <c r="B7" s="69">
        <v>4.8999999999999998E-3</v>
      </c>
      <c r="C7" s="69"/>
      <c r="D7" s="70"/>
      <c r="E7" s="70"/>
      <c r="F7" s="38"/>
    </row>
    <row r="8" spans="1:6" ht="30.75">
      <c r="A8" s="68" t="s">
        <v>57</v>
      </c>
      <c r="B8" s="70"/>
      <c r="C8" s="70"/>
      <c r="D8" s="70"/>
      <c r="E8" s="70"/>
      <c r="F8" s="38"/>
    </row>
    <row r="9" spans="1:6" ht="30.75">
      <c r="A9" s="68" t="s">
        <v>58</v>
      </c>
      <c r="B9" s="69">
        <v>5.0099999999999999E-2</v>
      </c>
      <c r="C9" s="69"/>
      <c r="D9" s="70"/>
      <c r="E9" s="70"/>
      <c r="F9" s="38"/>
    </row>
    <row r="10" spans="1:6" ht="18">
      <c r="A10" s="68" t="s">
        <v>59</v>
      </c>
      <c r="B10" s="69">
        <v>0</v>
      </c>
      <c r="C10" s="69"/>
      <c r="D10" s="70"/>
      <c r="E10" s="70"/>
      <c r="F10" s="38"/>
    </row>
    <row r="11" spans="1:6" ht="18">
      <c r="A11" s="68" t="s">
        <v>6</v>
      </c>
      <c r="B11" s="69">
        <v>2.9999999999999997E-4</v>
      </c>
      <c r="C11" s="69"/>
      <c r="D11" s="70"/>
      <c r="E11" s="70"/>
      <c r="F11" s="38"/>
    </row>
    <row r="12" spans="1:6" ht="18">
      <c r="A12" s="68" t="s">
        <v>114</v>
      </c>
      <c r="B12" s="70"/>
      <c r="C12" s="70"/>
      <c r="D12" s="70"/>
      <c r="E12" s="70"/>
      <c r="F12" s="38"/>
    </row>
    <row r="13" spans="1:6" ht="18">
      <c r="A13" s="68" t="s">
        <v>115</v>
      </c>
      <c r="B13" s="69">
        <v>0.12720000000000001</v>
      </c>
      <c r="C13" s="69"/>
      <c r="D13" s="70"/>
      <c r="E13" s="70"/>
      <c r="F13" s="38"/>
    </row>
    <row r="14" spans="1:6" ht="18">
      <c r="A14" s="68" t="s">
        <v>116</v>
      </c>
      <c r="B14" s="69">
        <v>0</v>
      </c>
      <c r="C14" s="69"/>
      <c r="D14" s="70"/>
      <c r="E14" s="70"/>
      <c r="F14" s="38"/>
    </row>
    <row r="15" spans="1:6" ht="18">
      <c r="A15" s="68" t="s">
        <v>117</v>
      </c>
      <c r="B15" s="69">
        <v>1.9599999999999999E-2</v>
      </c>
      <c r="C15" s="69"/>
      <c r="D15" s="70"/>
      <c r="E15" s="70"/>
      <c r="F15" s="38"/>
    </row>
    <row r="16" spans="1:6" ht="61.5">
      <c r="A16" s="68" t="s">
        <v>118</v>
      </c>
      <c r="B16" s="70"/>
      <c r="C16" s="70"/>
      <c r="D16" s="70"/>
      <c r="E16" s="70"/>
      <c r="F16" s="38"/>
    </row>
    <row r="17" spans="1:6" ht="30.75">
      <c r="A17" s="68" t="s">
        <v>119</v>
      </c>
      <c r="B17" s="70"/>
      <c r="C17" s="70"/>
      <c r="D17" s="70"/>
      <c r="E17" s="70"/>
      <c r="F17" s="38"/>
    </row>
    <row r="18" spans="1:6" ht="18">
      <c r="A18" s="68" t="s">
        <v>7</v>
      </c>
      <c r="B18" s="69">
        <v>3.5099999999999999E-2</v>
      </c>
      <c r="C18" s="69"/>
      <c r="D18" s="70"/>
      <c r="E18" s="70"/>
      <c r="F18" s="38"/>
    </row>
    <row r="19" spans="1:6" ht="18">
      <c r="A19" s="68" t="s">
        <v>8</v>
      </c>
      <c r="B19" s="69">
        <v>7.0000000000000001E-3</v>
      </c>
      <c r="C19" s="69"/>
      <c r="D19" s="70"/>
      <c r="E19" s="70"/>
      <c r="F19" s="38"/>
    </row>
    <row r="20" spans="1:6" ht="30.75">
      <c r="A20" s="68" t="s">
        <v>121</v>
      </c>
      <c r="B20" s="69">
        <v>0.25280000000000002</v>
      </c>
      <c r="C20" s="69"/>
      <c r="D20" s="70"/>
      <c r="E20" s="70"/>
      <c r="F20" s="38"/>
    </row>
    <row r="21" spans="1:6" ht="18">
      <c r="A21" s="68" t="s">
        <v>122</v>
      </c>
      <c r="B21" s="69">
        <v>0.62070000000000003</v>
      </c>
      <c r="C21" s="69"/>
      <c r="D21" s="70"/>
      <c r="E21" s="70"/>
      <c r="F21" s="38"/>
    </row>
    <row r="22" spans="1:6" ht="30.75">
      <c r="A22" s="68" t="s">
        <v>124</v>
      </c>
      <c r="B22" s="69">
        <v>0.22989999999999999</v>
      </c>
      <c r="C22" s="69"/>
      <c r="D22" s="70"/>
      <c r="E22" s="70"/>
      <c r="F22" s="38"/>
    </row>
    <row r="23" spans="1:6" ht="18">
      <c r="A23" s="68" t="s">
        <v>9</v>
      </c>
      <c r="B23" s="69">
        <v>2.5000000000000001E-3</v>
      </c>
      <c r="C23" s="69"/>
      <c r="D23" s="70"/>
      <c r="E23" s="70"/>
      <c r="F23" s="38"/>
    </row>
    <row r="24" spans="1:6" ht="30.75">
      <c r="A24" s="68" t="s">
        <v>125</v>
      </c>
      <c r="B24" s="70"/>
      <c r="C24" s="70"/>
      <c r="D24" s="70"/>
      <c r="E24" s="70"/>
      <c r="F24" s="38"/>
    </row>
    <row r="25" spans="1:6" ht="46.5">
      <c r="A25" s="68" t="s">
        <v>126</v>
      </c>
      <c r="B25" s="69">
        <v>0.65669999999999995</v>
      </c>
      <c r="C25" s="69"/>
      <c r="D25" s="70"/>
      <c r="E25" s="70"/>
      <c r="F25" s="38"/>
    </row>
    <row r="26" spans="1:6" ht="18">
      <c r="A26" s="68" t="s">
        <v>127</v>
      </c>
      <c r="B26" s="69">
        <v>0.3085</v>
      </c>
      <c r="C26" s="69"/>
      <c r="D26" s="70"/>
      <c r="E26" s="70"/>
      <c r="F26" s="38"/>
    </row>
    <row r="27" spans="1:6" ht="18">
      <c r="A27" s="68" t="s">
        <v>10</v>
      </c>
      <c r="B27" s="69">
        <v>4.0000000000000001E-3</v>
      </c>
      <c r="C27" s="69"/>
      <c r="D27" s="70"/>
      <c r="E27" s="70"/>
      <c r="F27" s="38"/>
    </row>
    <row r="28" spans="1:6" ht="18">
      <c r="A28" s="68" t="s">
        <v>11</v>
      </c>
      <c r="B28" s="69">
        <v>1.1000000000000001E-3</v>
      </c>
      <c r="C28" s="69"/>
      <c r="D28" s="70"/>
      <c r="E28" s="70"/>
      <c r="F28" s="38"/>
    </row>
    <row r="29" spans="1:6" ht="30.75">
      <c r="A29" s="68" t="s">
        <v>61</v>
      </c>
      <c r="B29" s="69">
        <v>6.0400000000000002E-2</v>
      </c>
      <c r="C29" s="69"/>
      <c r="D29" s="70"/>
      <c r="E29" s="70"/>
      <c r="F29" s="38"/>
    </row>
    <row r="30" spans="1:6" ht="30.75">
      <c r="A30" s="68" t="s">
        <v>128</v>
      </c>
      <c r="B30" s="70"/>
      <c r="C30" s="70"/>
      <c r="D30" s="70"/>
      <c r="E30" s="70"/>
      <c r="F30" s="38"/>
    </row>
    <row r="31" spans="1:6" ht="18">
      <c r="A31" s="68" t="s">
        <v>212</v>
      </c>
      <c r="B31" s="70"/>
      <c r="C31" s="70"/>
      <c r="D31" s="70"/>
      <c r="E31" s="70"/>
      <c r="F31" s="38"/>
    </row>
    <row r="32" spans="1:6" ht="30.75">
      <c r="A32" s="68" t="s">
        <v>62</v>
      </c>
      <c r="B32" s="69">
        <v>8.8999999999999999E-3</v>
      </c>
      <c r="C32" s="69"/>
      <c r="D32" s="70"/>
      <c r="E32" s="70"/>
      <c r="F32" s="38"/>
    </row>
    <row r="33" spans="1:6" ht="30.75">
      <c r="A33" s="68" t="s">
        <v>213</v>
      </c>
      <c r="B33" s="69">
        <v>9.7299999999999998E-2</v>
      </c>
      <c r="C33" s="69"/>
      <c r="D33" s="70"/>
      <c r="E33" s="70"/>
      <c r="F33" s="38"/>
    </row>
    <row r="34" spans="1:6" ht="18">
      <c r="A34" s="68" t="s">
        <v>63</v>
      </c>
      <c r="B34" s="69">
        <v>3.0999999999999999E-3</v>
      </c>
      <c r="C34" s="69"/>
      <c r="D34" s="70"/>
      <c r="E34" s="70"/>
      <c r="F34" s="38"/>
    </row>
    <row r="35" spans="1:6" ht="18">
      <c r="A35" s="68" t="s">
        <v>64</v>
      </c>
      <c r="B35" s="69">
        <v>1E-4</v>
      </c>
      <c r="C35" s="69"/>
      <c r="D35" s="70"/>
      <c r="E35" s="70"/>
      <c r="F35" s="38"/>
    </row>
    <row r="36" spans="1:6" ht="18">
      <c r="A36" s="68" t="s">
        <v>12</v>
      </c>
      <c r="B36" s="69">
        <v>5.9999999999999995E-4</v>
      </c>
      <c r="C36" s="69"/>
      <c r="D36" s="70"/>
      <c r="E36" s="70"/>
      <c r="F36" s="38"/>
    </row>
    <row r="37" spans="1:6" ht="77.25">
      <c r="A37" s="68" t="s">
        <v>215</v>
      </c>
      <c r="B37" s="69">
        <v>0.78939999999999999</v>
      </c>
      <c r="C37" s="69"/>
      <c r="D37" s="70"/>
      <c r="E37" s="70"/>
      <c r="F37" s="38"/>
    </row>
    <row r="38" spans="1:6" ht="30.75">
      <c r="A38" s="68" t="s">
        <v>13</v>
      </c>
      <c r="B38" s="69">
        <v>1.5E-3</v>
      </c>
      <c r="C38" s="69"/>
      <c r="D38" s="70"/>
      <c r="E38" s="70"/>
      <c r="F38" s="38"/>
    </row>
    <row r="39" spans="1:6" ht="18">
      <c r="A39" s="68" t="s">
        <v>130</v>
      </c>
      <c r="B39" s="70"/>
      <c r="C39" s="70"/>
      <c r="D39" s="70"/>
      <c r="E39" s="70"/>
      <c r="F39" s="38"/>
    </row>
    <row r="40" spans="1:6" ht="46.5">
      <c r="A40" s="68" t="s">
        <v>66</v>
      </c>
      <c r="B40" s="69">
        <v>7.6E-3</v>
      </c>
      <c r="C40" s="69"/>
      <c r="D40" s="70"/>
      <c r="E40" s="70"/>
      <c r="F40" s="38"/>
    </row>
    <row r="41" spans="1:6" ht="30.75">
      <c r="A41" s="68" t="s">
        <v>217</v>
      </c>
      <c r="B41" s="70"/>
      <c r="C41" s="70"/>
      <c r="D41" s="70"/>
      <c r="E41" s="70"/>
      <c r="F41" s="38"/>
    </row>
    <row r="42" spans="1:6" ht="18">
      <c r="A42" s="68" t="s">
        <v>67</v>
      </c>
      <c r="B42" s="69">
        <v>3.1800000000000002E-2</v>
      </c>
      <c r="C42" s="69"/>
      <c r="D42" s="70"/>
      <c r="E42" s="70"/>
      <c r="F42" s="38"/>
    </row>
    <row r="43" spans="1:6" ht="18">
      <c r="A43" s="68" t="s">
        <v>68</v>
      </c>
      <c r="B43" s="69">
        <v>1.47E-2</v>
      </c>
      <c r="C43" s="69"/>
      <c r="D43" s="70"/>
      <c r="E43" s="70"/>
      <c r="F43" s="38"/>
    </row>
    <row r="44" spans="1:6" ht="30.75">
      <c r="A44" s="68" t="s">
        <v>133</v>
      </c>
      <c r="B44" s="69">
        <v>3.3599999999999998E-2</v>
      </c>
      <c r="C44" s="69"/>
      <c r="D44" s="70"/>
      <c r="E44" s="70"/>
      <c r="F44" s="38"/>
    </row>
    <row r="45" spans="1:6" ht="18">
      <c r="A45" s="68" t="s">
        <v>69</v>
      </c>
      <c r="B45" s="69">
        <v>3.0999999999999999E-3</v>
      </c>
      <c r="C45" s="69"/>
      <c r="D45" s="70"/>
      <c r="E45" s="70"/>
      <c r="F45" s="38"/>
    </row>
    <row r="46" spans="1:6" ht="18">
      <c r="A46" s="68" t="s">
        <v>136</v>
      </c>
      <c r="B46" s="70"/>
      <c r="C46" s="70"/>
      <c r="D46" s="70"/>
      <c r="E46" s="70"/>
      <c r="F46" s="38"/>
    </row>
    <row r="47" spans="1:6" ht="18">
      <c r="A47" s="68" t="s">
        <v>137</v>
      </c>
      <c r="B47" s="70"/>
      <c r="C47" s="70"/>
      <c r="D47" s="70"/>
      <c r="E47" s="70"/>
      <c r="F47" s="38"/>
    </row>
    <row r="48" spans="1:6" ht="18">
      <c r="A48" s="68" t="s">
        <v>138</v>
      </c>
      <c r="B48" s="69">
        <v>1.32E-2</v>
      </c>
      <c r="C48" s="69"/>
      <c r="D48" s="70"/>
      <c r="E48" s="70"/>
      <c r="F48" s="38"/>
    </row>
    <row r="49" spans="1:6" ht="18">
      <c r="A49" s="68" t="s">
        <v>15</v>
      </c>
      <c r="B49" s="69">
        <v>2.0000000000000001E-4</v>
      </c>
      <c r="C49" s="69"/>
      <c r="D49" s="70"/>
      <c r="E49" s="70"/>
      <c r="F49" s="38"/>
    </row>
    <row r="50" spans="1:6" ht="18">
      <c r="A50" s="68" t="s">
        <v>16</v>
      </c>
      <c r="B50" s="69">
        <v>5.9999999999999995E-4</v>
      </c>
      <c r="C50" s="69"/>
      <c r="D50" s="70"/>
      <c r="E50" s="70"/>
      <c r="F50" s="38"/>
    </row>
    <row r="51" spans="1:6" ht="18">
      <c r="A51" s="68" t="s">
        <v>139</v>
      </c>
      <c r="B51" s="70"/>
      <c r="C51" s="70"/>
      <c r="D51" s="70"/>
      <c r="E51" s="70"/>
      <c r="F51" s="38"/>
    </row>
    <row r="52" spans="1:6" ht="18">
      <c r="A52" s="68" t="s">
        <v>140</v>
      </c>
      <c r="B52" s="69">
        <v>0.1724</v>
      </c>
      <c r="C52" s="69"/>
      <c r="D52" s="70"/>
      <c r="E52" s="70"/>
      <c r="F52" s="38"/>
    </row>
    <row r="53" spans="1:6" ht="18">
      <c r="A53" s="68" t="s">
        <v>70</v>
      </c>
      <c r="B53" s="69">
        <v>5.4899999999999997E-2</v>
      </c>
      <c r="C53" s="69"/>
      <c r="D53" s="70"/>
      <c r="E53" s="70"/>
      <c r="F53" s="38"/>
    </row>
    <row r="54" spans="1:6" ht="30.75">
      <c r="A54" s="68" t="s">
        <v>17</v>
      </c>
      <c r="B54" s="69">
        <v>0</v>
      </c>
      <c r="C54" s="69"/>
      <c r="D54" s="70"/>
      <c r="E54" s="70"/>
      <c r="F54" s="38"/>
    </row>
    <row r="55" spans="1:6" ht="18">
      <c r="A55" s="68" t="s">
        <v>141</v>
      </c>
      <c r="B55" s="70"/>
      <c r="C55" s="70"/>
      <c r="D55" s="70"/>
      <c r="E55" s="70"/>
      <c r="F55" s="38"/>
    </row>
    <row r="56" spans="1:6" ht="18">
      <c r="A56" s="68" t="s">
        <v>18</v>
      </c>
      <c r="B56" s="69">
        <v>5.7000000000000002E-3</v>
      </c>
      <c r="C56" s="69"/>
      <c r="D56" s="70"/>
      <c r="E56" s="70"/>
      <c r="F56" s="38"/>
    </row>
    <row r="57" spans="1:6" ht="18">
      <c r="A57" s="68" t="s">
        <v>142</v>
      </c>
      <c r="B57" s="69">
        <v>3.2000000000000002E-3</v>
      </c>
      <c r="C57" s="69"/>
      <c r="D57" s="70"/>
      <c r="E57" s="70"/>
      <c r="F57" s="38"/>
    </row>
    <row r="58" spans="1:6" ht="30.75">
      <c r="A58" s="68" t="s">
        <v>71</v>
      </c>
      <c r="B58" s="70"/>
      <c r="C58" s="70"/>
      <c r="D58" s="70"/>
      <c r="E58" s="70"/>
      <c r="F58" s="38"/>
    </row>
    <row r="59" spans="1:6" ht="18">
      <c r="A59" s="68" t="s">
        <v>143</v>
      </c>
      <c r="B59" s="69">
        <v>0.13819999999999999</v>
      </c>
      <c r="C59" s="69"/>
      <c r="D59" s="70"/>
      <c r="E59" s="70"/>
      <c r="F59" s="38"/>
    </row>
    <row r="60" spans="1:6" ht="30.75">
      <c r="A60" s="68" t="s">
        <v>222</v>
      </c>
      <c r="B60" s="69">
        <v>0.2596</v>
      </c>
      <c r="C60" s="69"/>
      <c r="D60" s="70"/>
      <c r="E60" s="70"/>
      <c r="F60" s="38"/>
    </row>
    <row r="61" spans="1:6" ht="18">
      <c r="A61" s="68" t="s">
        <v>145</v>
      </c>
      <c r="B61" s="70"/>
      <c r="C61" s="70"/>
      <c r="D61" s="70"/>
      <c r="E61" s="70"/>
      <c r="F61" s="38"/>
    </row>
    <row r="62" spans="1:6" ht="18">
      <c r="A62" s="68" t="s">
        <v>146</v>
      </c>
      <c r="B62" s="70"/>
      <c r="C62" s="70"/>
      <c r="D62" s="70"/>
      <c r="E62" s="70"/>
      <c r="F62" s="38"/>
    </row>
    <row r="63" spans="1:6" ht="30.75">
      <c r="A63" s="68" t="s">
        <v>147</v>
      </c>
      <c r="B63" s="69">
        <v>0.12740000000000001</v>
      </c>
      <c r="C63" s="69"/>
      <c r="D63" s="70"/>
      <c r="E63" s="70"/>
      <c r="F63" s="38"/>
    </row>
    <row r="64" spans="1:6" ht="18">
      <c r="A64" s="68" t="s">
        <v>73</v>
      </c>
      <c r="B64" s="69">
        <v>4.0000000000000001E-3</v>
      </c>
      <c r="C64" s="69"/>
      <c r="D64" s="70"/>
      <c r="E64" s="70"/>
      <c r="F64" s="38"/>
    </row>
    <row r="65" spans="1:6" ht="18">
      <c r="A65" s="68" t="s">
        <v>20</v>
      </c>
      <c r="B65" s="70"/>
      <c r="C65" s="70"/>
      <c r="D65" s="70"/>
      <c r="E65" s="70"/>
      <c r="F65" s="38"/>
    </row>
    <row r="66" spans="1:6" ht="18">
      <c r="A66" s="68" t="s">
        <v>21</v>
      </c>
      <c r="B66" s="69">
        <v>0.12920000000000001</v>
      </c>
      <c r="C66" s="69"/>
      <c r="D66" s="70"/>
      <c r="E66" s="70"/>
      <c r="F66" s="38"/>
    </row>
    <row r="67" spans="1:6" ht="30.75">
      <c r="A67" s="68" t="s">
        <v>22</v>
      </c>
      <c r="B67" s="69">
        <v>1.8800000000000001E-2</v>
      </c>
      <c r="C67" s="69"/>
      <c r="D67" s="70"/>
      <c r="E67" s="70"/>
      <c r="F67" s="38"/>
    </row>
    <row r="68" spans="1:6" ht="18">
      <c r="A68" s="68" t="s">
        <v>74</v>
      </c>
      <c r="B68" s="69">
        <v>4.7000000000000002E-3</v>
      </c>
      <c r="C68" s="69"/>
      <c r="D68" s="70"/>
      <c r="E68" s="70"/>
      <c r="F68" s="38"/>
    </row>
    <row r="69" spans="1:6" ht="18">
      <c r="A69" s="68" t="s">
        <v>75</v>
      </c>
      <c r="B69" s="70"/>
      <c r="C69" s="70"/>
      <c r="D69" s="70"/>
      <c r="E69" s="70"/>
      <c r="F69" s="38"/>
    </row>
    <row r="70" spans="1:6" ht="18">
      <c r="A70" s="68" t="s">
        <v>23</v>
      </c>
      <c r="B70" s="69">
        <v>5.9999999999999995E-4</v>
      </c>
      <c r="C70" s="69"/>
      <c r="D70" s="70"/>
      <c r="E70" s="70"/>
      <c r="F70" s="38"/>
    </row>
    <row r="71" spans="1:6" ht="18">
      <c r="A71" s="68" t="s">
        <v>24</v>
      </c>
      <c r="B71" s="69">
        <v>2.3999999999999998E-3</v>
      </c>
      <c r="C71" s="69"/>
      <c r="D71" s="70"/>
      <c r="E71" s="70"/>
      <c r="F71" s="38"/>
    </row>
    <row r="72" spans="1:6" ht="18">
      <c r="A72" s="68" t="s">
        <v>25</v>
      </c>
      <c r="B72" s="69">
        <v>8.0999999999999996E-3</v>
      </c>
      <c r="C72" s="69"/>
      <c r="D72" s="70"/>
      <c r="E72" s="70"/>
      <c r="F72" s="38"/>
    </row>
    <row r="73" spans="1:6" ht="18">
      <c r="A73" s="68" t="s">
        <v>26</v>
      </c>
      <c r="B73" s="69">
        <v>3.0999999999999999E-3</v>
      </c>
      <c r="C73" s="69"/>
      <c r="D73" s="70"/>
      <c r="E73" s="70"/>
      <c r="F73" s="38"/>
    </row>
    <row r="74" spans="1:6" ht="18">
      <c r="A74" s="68" t="s">
        <v>27</v>
      </c>
      <c r="B74" s="70"/>
      <c r="C74" s="70"/>
      <c r="D74" s="70"/>
      <c r="E74" s="70"/>
      <c r="F74" s="38"/>
    </row>
    <row r="75" spans="1:6" ht="18">
      <c r="A75" s="68" t="s">
        <v>76</v>
      </c>
      <c r="B75" s="70"/>
      <c r="C75" s="70"/>
      <c r="D75" s="70"/>
      <c r="E75" s="70"/>
      <c r="F75" s="38"/>
    </row>
    <row r="76" spans="1:6" ht="30.75">
      <c r="A76" s="68" t="s">
        <v>77</v>
      </c>
      <c r="B76" s="69">
        <v>2.0000000000000001E-4</v>
      </c>
      <c r="C76" s="69"/>
      <c r="D76" s="70"/>
      <c r="E76" s="70"/>
      <c r="F76" s="38"/>
    </row>
    <row r="77" spans="1:6" ht="18">
      <c r="A77" s="68" t="s">
        <v>78</v>
      </c>
      <c r="B77" s="69">
        <v>0.36149999999999999</v>
      </c>
      <c r="C77" s="69"/>
      <c r="D77" s="70"/>
      <c r="E77" s="70"/>
      <c r="F77" s="38"/>
    </row>
    <row r="78" spans="1:6" ht="18">
      <c r="A78" s="68" t="s">
        <v>149</v>
      </c>
      <c r="B78" s="69">
        <v>1.6799999999999999E-2</v>
      </c>
      <c r="C78" s="69"/>
      <c r="D78" s="70"/>
      <c r="E78" s="70"/>
      <c r="F78" s="38"/>
    </row>
    <row r="79" spans="1:6" ht="18">
      <c r="A79" s="68" t="s">
        <v>225</v>
      </c>
      <c r="B79" s="70"/>
      <c r="C79" s="70"/>
      <c r="D79" s="70"/>
      <c r="E79" s="70"/>
      <c r="F79" s="38"/>
    </row>
    <row r="80" spans="1:6" ht="30.75">
      <c r="A80" s="68" t="s">
        <v>150</v>
      </c>
      <c r="B80" s="69">
        <v>7.1999999999999998E-3</v>
      </c>
      <c r="C80" s="69"/>
      <c r="D80" s="70"/>
      <c r="E80" s="70"/>
      <c r="F80" s="38"/>
    </row>
    <row r="81" spans="1:6" ht="18">
      <c r="A81" s="68" t="s">
        <v>151</v>
      </c>
      <c r="B81" s="69">
        <v>7.1400000000000005E-2</v>
      </c>
      <c r="C81" s="69"/>
      <c r="D81" s="70"/>
      <c r="E81" s="70"/>
      <c r="F81" s="38"/>
    </row>
    <row r="82" spans="1:6" ht="18">
      <c r="A82" s="68" t="s">
        <v>80</v>
      </c>
      <c r="B82" s="69">
        <v>4.0000000000000001E-3</v>
      </c>
      <c r="C82" s="69"/>
      <c r="D82" s="70"/>
      <c r="E82" s="70"/>
      <c r="F82" s="38"/>
    </row>
    <row r="83" spans="1:6" ht="18">
      <c r="A83" s="68" t="s">
        <v>81</v>
      </c>
      <c r="B83" s="70"/>
      <c r="C83" s="70"/>
      <c r="D83" s="70"/>
      <c r="E83" s="70"/>
      <c r="F83" s="38"/>
    </row>
    <row r="84" spans="1:6" ht="18">
      <c r="A84" s="68" t="s">
        <v>152</v>
      </c>
      <c r="B84" s="70"/>
      <c r="C84" s="70"/>
      <c r="D84" s="70"/>
      <c r="E84" s="70"/>
      <c r="F84" s="38"/>
    </row>
    <row r="85" spans="1:6" ht="18">
      <c r="A85" s="68" t="s">
        <v>153</v>
      </c>
      <c r="B85" s="70"/>
      <c r="C85" s="70"/>
      <c r="D85" s="70"/>
      <c r="E85" s="70"/>
      <c r="F85" s="38"/>
    </row>
    <row r="86" spans="1:6" ht="30.75">
      <c r="A86" s="68" t="s">
        <v>28</v>
      </c>
      <c r="B86" s="69">
        <v>2.5000000000000001E-3</v>
      </c>
      <c r="C86" s="69"/>
      <c r="D86" s="70"/>
      <c r="E86" s="70"/>
      <c r="F86" s="38"/>
    </row>
    <row r="87" spans="1:6" ht="30.75">
      <c r="A87" s="68" t="s">
        <v>82</v>
      </c>
      <c r="B87" s="69">
        <v>5.0000000000000001E-4</v>
      </c>
      <c r="C87" s="69"/>
      <c r="D87" s="70"/>
      <c r="E87" s="70"/>
      <c r="F87" s="38"/>
    </row>
    <row r="88" spans="1:6" ht="30.75">
      <c r="A88" s="68" t="s">
        <v>156</v>
      </c>
      <c r="B88" s="70"/>
      <c r="C88" s="70"/>
      <c r="D88" s="70"/>
      <c r="E88" s="70"/>
      <c r="F88" s="38"/>
    </row>
    <row r="89" spans="1:6" ht="18">
      <c r="A89" s="68" t="s">
        <v>157</v>
      </c>
      <c r="B89" s="69">
        <v>0.7006</v>
      </c>
      <c r="C89" s="69"/>
      <c r="D89" s="70"/>
      <c r="E89" s="70"/>
      <c r="F89" s="38"/>
    </row>
    <row r="90" spans="1:6" ht="30.75">
      <c r="A90" s="68" t="s">
        <v>29</v>
      </c>
      <c r="B90" s="69">
        <v>0</v>
      </c>
      <c r="C90" s="69"/>
      <c r="D90" s="70"/>
      <c r="E90" s="70"/>
      <c r="F90" s="38"/>
    </row>
    <row r="91" spans="1:6" ht="30.75">
      <c r="A91" s="68" t="s">
        <v>158</v>
      </c>
      <c r="B91" s="69">
        <v>0</v>
      </c>
      <c r="C91" s="69"/>
      <c r="D91" s="70"/>
      <c r="E91" s="70"/>
      <c r="F91" s="38"/>
    </row>
    <row r="92" spans="1:6" ht="18">
      <c r="A92" s="68" t="s">
        <v>159</v>
      </c>
      <c r="B92" s="69">
        <v>0.20849999999999999</v>
      </c>
      <c r="C92" s="69"/>
      <c r="D92" s="70"/>
      <c r="E92" s="70"/>
      <c r="F92" s="38"/>
    </row>
    <row r="93" spans="1:6" ht="18">
      <c r="A93" s="68" t="s">
        <v>83</v>
      </c>
      <c r="B93" s="69">
        <v>2.5999999999999999E-3</v>
      </c>
      <c r="C93" s="69"/>
      <c r="D93" s="70"/>
      <c r="E93" s="70"/>
      <c r="F93" s="38"/>
    </row>
    <row r="94" spans="1:6" ht="30.75">
      <c r="A94" s="68" t="s">
        <v>160</v>
      </c>
      <c r="B94" s="69">
        <v>8.5000000000000006E-3</v>
      </c>
      <c r="C94" s="69"/>
      <c r="D94" s="70"/>
      <c r="E94" s="70"/>
      <c r="F94" s="38"/>
    </row>
    <row r="95" spans="1:6" ht="30.75">
      <c r="A95" s="68" t="s">
        <v>161</v>
      </c>
      <c r="B95" s="69">
        <v>5.3499999999999999E-2</v>
      </c>
      <c r="C95" s="69"/>
      <c r="D95" s="70"/>
      <c r="E95" s="70"/>
      <c r="F95" s="38"/>
    </row>
    <row r="96" spans="1:6" ht="30.75">
      <c r="A96" s="68" t="s">
        <v>162</v>
      </c>
      <c r="B96" s="70"/>
      <c r="C96" s="70"/>
      <c r="D96" s="70"/>
      <c r="E96" s="70"/>
      <c r="F96" s="38"/>
    </row>
    <row r="97" spans="1:6" ht="18">
      <c r="A97" s="68" t="s">
        <v>30</v>
      </c>
      <c r="B97" s="69">
        <v>1.18E-2</v>
      </c>
      <c r="C97" s="69"/>
      <c r="D97" s="70"/>
      <c r="E97" s="70"/>
      <c r="F97" s="38"/>
    </row>
    <row r="98" spans="1:6" ht="61.5">
      <c r="A98" s="68" t="s">
        <v>227</v>
      </c>
      <c r="B98" s="70"/>
      <c r="C98" s="70"/>
      <c r="D98" s="70"/>
      <c r="E98" s="70"/>
      <c r="F98" s="38"/>
    </row>
    <row r="99" spans="1:6" ht="30.75">
      <c r="A99" s="68" t="s">
        <v>163</v>
      </c>
      <c r="B99" s="69">
        <v>0</v>
      </c>
      <c r="C99" s="69"/>
      <c r="D99" s="70"/>
      <c r="E99" s="70"/>
      <c r="F99" s="38"/>
    </row>
    <row r="100" spans="1:6" ht="30.75">
      <c r="A100" s="68" t="s">
        <v>164</v>
      </c>
      <c r="B100" s="69">
        <v>2.2000000000000001E-3</v>
      </c>
      <c r="C100" s="69"/>
      <c r="D100" s="70"/>
      <c r="E100" s="70"/>
      <c r="F100" s="38"/>
    </row>
    <row r="101" spans="1:6" ht="30.75">
      <c r="A101" s="68" t="s">
        <v>165</v>
      </c>
      <c r="B101" s="69">
        <v>1.9800000000000002E-2</v>
      </c>
      <c r="C101" s="69"/>
      <c r="D101" s="70"/>
      <c r="E101" s="70"/>
      <c r="F101" s="38"/>
    </row>
    <row r="102" spans="1:6" ht="30.75">
      <c r="A102" s="68" t="s">
        <v>84</v>
      </c>
      <c r="B102" s="70"/>
      <c r="C102" s="70"/>
      <c r="D102" s="70"/>
      <c r="E102" s="70"/>
      <c r="F102" s="38"/>
    </row>
    <row r="103" spans="1:6" ht="30.75">
      <c r="A103" s="68" t="s">
        <v>166</v>
      </c>
      <c r="B103" s="69">
        <v>0.74529999999999996</v>
      </c>
      <c r="C103" s="69"/>
      <c r="D103" s="70"/>
      <c r="E103" s="70"/>
      <c r="F103" s="38"/>
    </row>
    <row r="104" spans="1:6" ht="30.75">
      <c r="A104" s="68" t="s">
        <v>167</v>
      </c>
      <c r="B104" s="70"/>
      <c r="C104" s="70"/>
      <c r="D104" s="70"/>
      <c r="E104" s="70"/>
      <c r="F104" s="38"/>
    </row>
    <row r="105" spans="1:6" ht="18">
      <c r="A105" s="68" t="s">
        <v>168</v>
      </c>
      <c r="B105" s="70"/>
      <c r="C105" s="70"/>
      <c r="D105" s="70"/>
      <c r="E105" s="70"/>
      <c r="F105" s="38"/>
    </row>
    <row r="106" spans="1:6" ht="18">
      <c r="A106" s="68" t="s">
        <v>230</v>
      </c>
      <c r="B106" s="70"/>
      <c r="C106" s="70"/>
      <c r="D106" s="70"/>
      <c r="E106" s="70"/>
      <c r="F106" s="38"/>
    </row>
    <row r="107" spans="1:6" ht="18">
      <c r="A107" s="68" t="s">
        <v>85</v>
      </c>
      <c r="B107" s="70"/>
      <c r="C107" s="70"/>
      <c r="D107" s="70"/>
      <c r="E107" s="70"/>
      <c r="F107" s="38"/>
    </row>
    <row r="108" spans="1:6" ht="30.75">
      <c r="A108" s="68" t="s">
        <v>31</v>
      </c>
      <c r="B108" s="69">
        <v>6.9999999999999999E-4</v>
      </c>
      <c r="C108" s="69"/>
      <c r="D108" s="70"/>
      <c r="E108" s="70"/>
      <c r="F108" s="38"/>
    </row>
    <row r="109" spans="1:6" ht="30.75">
      <c r="A109" s="68" t="s">
        <v>169</v>
      </c>
      <c r="B109" s="70"/>
      <c r="C109" s="70"/>
      <c r="D109" s="70"/>
      <c r="E109" s="70"/>
      <c r="F109" s="38"/>
    </row>
    <row r="110" spans="1:6" ht="18">
      <c r="A110" s="68" t="s">
        <v>170</v>
      </c>
      <c r="B110" s="69">
        <v>0.50609999999999999</v>
      </c>
      <c r="C110" s="69"/>
      <c r="D110" s="70"/>
      <c r="E110" s="70"/>
      <c r="F110" s="38"/>
    </row>
    <row r="111" spans="1:6" ht="18">
      <c r="A111" s="68" t="s">
        <v>33</v>
      </c>
      <c r="B111" s="69">
        <v>0.30859999999999999</v>
      </c>
      <c r="C111" s="69"/>
      <c r="D111" s="70"/>
      <c r="E111" s="70"/>
      <c r="F111" s="38"/>
    </row>
    <row r="112" spans="1:6" ht="46.5">
      <c r="A112" s="68" t="s">
        <v>86</v>
      </c>
      <c r="B112" s="69">
        <v>2.6599999999999999E-2</v>
      </c>
      <c r="C112" s="69"/>
      <c r="D112" s="70"/>
      <c r="E112" s="70"/>
      <c r="F112" s="38"/>
    </row>
    <row r="113" spans="1:6" ht="18">
      <c r="A113" s="68" t="s">
        <v>35</v>
      </c>
      <c r="B113" s="69">
        <v>1.6000000000000001E-3</v>
      </c>
      <c r="C113" s="69"/>
      <c r="D113" s="70"/>
      <c r="E113" s="70"/>
      <c r="F113" s="38"/>
    </row>
    <row r="114" spans="1:6" ht="18">
      <c r="A114" s="68" t="s">
        <v>88</v>
      </c>
      <c r="B114" s="69">
        <v>4.9299999999999997E-2</v>
      </c>
      <c r="C114" s="69"/>
      <c r="D114" s="70"/>
      <c r="E114" s="70"/>
      <c r="F114" s="38"/>
    </row>
    <row r="115" spans="1:6" ht="30.75">
      <c r="A115" s="68" t="s">
        <v>172</v>
      </c>
      <c r="B115" s="70"/>
      <c r="C115" s="70"/>
      <c r="D115" s="70"/>
      <c r="E115" s="70"/>
      <c r="F115" s="38"/>
    </row>
    <row r="116" spans="1:6" ht="18">
      <c r="A116" s="68" t="s">
        <v>89</v>
      </c>
      <c r="B116" s="69">
        <v>1.29E-2</v>
      </c>
      <c r="C116" s="69"/>
      <c r="D116" s="70"/>
      <c r="E116" s="70"/>
      <c r="F116" s="38"/>
    </row>
    <row r="117" spans="1:6" ht="46.5">
      <c r="A117" s="68" t="s">
        <v>173</v>
      </c>
      <c r="B117" s="70"/>
      <c r="C117" s="70"/>
      <c r="D117" s="70"/>
      <c r="E117" s="70"/>
      <c r="F117" s="38"/>
    </row>
    <row r="118" spans="1:6" ht="30.75">
      <c r="A118" s="68" t="s">
        <v>174</v>
      </c>
      <c r="B118" s="69">
        <v>1.3299999999999999E-2</v>
      </c>
      <c r="C118" s="69"/>
      <c r="D118" s="70"/>
      <c r="E118" s="70"/>
      <c r="F118" s="38"/>
    </row>
    <row r="119" spans="1:6" ht="18">
      <c r="A119" s="68" t="s">
        <v>90</v>
      </c>
      <c r="B119" s="69">
        <v>2.6599999999999999E-2</v>
      </c>
      <c r="C119" s="69"/>
      <c r="D119" s="70"/>
      <c r="E119" s="70"/>
      <c r="F119" s="38"/>
    </row>
    <row r="120" spans="1:6" ht="30.75">
      <c r="A120" s="68" t="s">
        <v>91</v>
      </c>
      <c r="B120" s="69">
        <v>6.7500000000000004E-2</v>
      </c>
      <c r="C120" s="69"/>
      <c r="D120" s="70"/>
      <c r="E120" s="70"/>
      <c r="F120" s="38"/>
    </row>
    <row r="121" spans="1:6" ht="18">
      <c r="A121" s="68" t="s">
        <v>36</v>
      </c>
      <c r="B121" s="69">
        <v>1.1000000000000001E-3</v>
      </c>
      <c r="C121" s="69"/>
      <c r="D121" s="70"/>
      <c r="E121" s="70"/>
      <c r="F121" s="38"/>
    </row>
    <row r="122" spans="1:6" ht="18">
      <c r="A122" s="68" t="s">
        <v>37</v>
      </c>
      <c r="B122" s="69">
        <v>2.3E-3</v>
      </c>
      <c r="C122" s="69"/>
      <c r="D122" s="70"/>
      <c r="E122" s="70"/>
      <c r="F122" s="38"/>
    </row>
    <row r="123" spans="1:6" ht="18">
      <c r="A123" s="68" t="s">
        <v>38</v>
      </c>
      <c r="B123" s="69">
        <v>1.7600000000000001E-2</v>
      </c>
      <c r="C123" s="69"/>
      <c r="D123" s="70"/>
      <c r="E123" s="70"/>
      <c r="F123" s="38"/>
    </row>
    <row r="124" spans="1:6" ht="18">
      <c r="A124" s="68" t="s">
        <v>39</v>
      </c>
      <c r="B124" s="69">
        <v>1E-4</v>
      </c>
      <c r="C124" s="69"/>
      <c r="D124" s="70"/>
      <c r="E124" s="70"/>
      <c r="F124" s="38"/>
    </row>
    <row r="125" spans="1:6" ht="18">
      <c r="A125" s="68" t="s">
        <v>176</v>
      </c>
      <c r="B125" s="70"/>
      <c r="C125" s="70"/>
      <c r="D125" s="70"/>
      <c r="E125" s="70"/>
      <c r="F125" s="38"/>
    </row>
    <row r="126" spans="1:6" ht="30.75">
      <c r="A126" s="68" t="s">
        <v>178</v>
      </c>
      <c r="B126" s="70"/>
      <c r="C126" s="70"/>
      <c r="D126" s="70"/>
      <c r="E126" s="70"/>
      <c r="F126" s="38"/>
    </row>
    <row r="127" spans="1:6" ht="18">
      <c r="A127" s="68" t="s">
        <v>180</v>
      </c>
      <c r="B127" s="70"/>
      <c r="C127" s="70"/>
      <c r="D127" s="70"/>
      <c r="E127" s="70"/>
      <c r="F127" s="38"/>
    </row>
    <row r="128" spans="1:6" ht="61.5">
      <c r="A128" s="68" t="s">
        <v>182</v>
      </c>
      <c r="B128" s="70"/>
      <c r="C128" s="70"/>
      <c r="D128" s="70"/>
      <c r="E128" s="70"/>
      <c r="F128" s="38"/>
    </row>
    <row r="129" spans="1:6" ht="18">
      <c r="A129" s="68" t="s">
        <v>183</v>
      </c>
      <c r="B129" s="69">
        <v>9.9299999999999999E-2</v>
      </c>
      <c r="C129" s="69"/>
      <c r="D129" s="70"/>
      <c r="E129" s="70"/>
      <c r="F129" s="38"/>
    </row>
    <row r="130" spans="1:6" ht="18">
      <c r="A130" s="68" t="s">
        <v>94</v>
      </c>
      <c r="B130" s="69">
        <v>1.24E-2</v>
      </c>
      <c r="C130" s="69"/>
      <c r="D130" s="70"/>
      <c r="E130" s="70"/>
      <c r="F130" s="38"/>
    </row>
    <row r="131" spans="1:6" ht="30.75">
      <c r="A131" s="68" t="s">
        <v>184</v>
      </c>
      <c r="B131" s="69">
        <v>5.1000000000000004E-3</v>
      </c>
      <c r="C131" s="69"/>
      <c r="D131" s="70"/>
      <c r="E131" s="70"/>
      <c r="F131" s="38"/>
    </row>
    <row r="132" spans="1:6" ht="30.75">
      <c r="A132" s="68" t="s">
        <v>185</v>
      </c>
      <c r="B132" s="69">
        <v>0.2606</v>
      </c>
      <c r="C132" s="69"/>
      <c r="D132" s="70"/>
      <c r="E132" s="70"/>
      <c r="F132" s="38"/>
    </row>
    <row r="133" spans="1:6" ht="18">
      <c r="A133" s="68" t="s">
        <v>95</v>
      </c>
      <c r="B133" s="69">
        <v>1E-3</v>
      </c>
      <c r="C133" s="69"/>
      <c r="D133" s="70"/>
      <c r="E133" s="70"/>
      <c r="F133" s="38"/>
    </row>
    <row r="134" spans="1:6" ht="18">
      <c r="A134" s="68" t="s">
        <v>96</v>
      </c>
      <c r="B134" s="69">
        <v>0</v>
      </c>
      <c r="C134" s="69"/>
      <c r="D134" s="70"/>
      <c r="E134" s="70"/>
      <c r="F134" s="38"/>
    </row>
    <row r="135" spans="1:6" ht="30.75">
      <c r="A135" s="68" t="s">
        <v>186</v>
      </c>
      <c r="B135" s="70"/>
      <c r="C135" s="70"/>
      <c r="D135" s="70"/>
      <c r="E135" s="70"/>
      <c r="F135" s="38"/>
    </row>
    <row r="136" spans="1:6" ht="30.75">
      <c r="A136" s="68" t="s">
        <v>43</v>
      </c>
      <c r="B136" s="70"/>
      <c r="C136" s="70"/>
      <c r="D136" s="70"/>
      <c r="E136" s="70"/>
      <c r="F136" s="38"/>
    </row>
    <row r="137" spans="1:6" ht="30.75">
      <c r="A137" s="68" t="s">
        <v>44</v>
      </c>
      <c r="B137" s="70"/>
      <c r="C137" s="70"/>
      <c r="D137" s="70"/>
      <c r="E137" s="70"/>
      <c r="F137" s="38"/>
    </row>
    <row r="138" spans="1:6" ht="30.75">
      <c r="A138" s="68" t="s">
        <v>187</v>
      </c>
      <c r="B138" s="70"/>
      <c r="C138" s="70"/>
      <c r="D138" s="70"/>
      <c r="E138" s="70"/>
      <c r="F138" s="38"/>
    </row>
    <row r="139" spans="1:6" ht="18">
      <c r="A139" s="68" t="s">
        <v>45</v>
      </c>
      <c r="B139" s="69">
        <v>5.5999999999999999E-3</v>
      </c>
      <c r="C139" s="69"/>
      <c r="D139" s="70"/>
      <c r="E139" s="70"/>
      <c r="F139" s="38"/>
    </row>
    <row r="140" spans="1:6" ht="30.75">
      <c r="A140" s="68" t="s">
        <v>97</v>
      </c>
      <c r="B140" s="69">
        <v>9.5999999999999992E-3</v>
      </c>
      <c r="C140" s="69"/>
      <c r="D140" s="70"/>
      <c r="E140" s="70"/>
      <c r="F140" s="38"/>
    </row>
    <row r="141" spans="1:6" ht="18">
      <c r="A141" s="68" t="s">
        <v>188</v>
      </c>
      <c r="B141" s="70"/>
      <c r="C141" s="70"/>
      <c r="D141" s="70"/>
      <c r="E141" s="70"/>
      <c r="F141" s="38"/>
    </row>
    <row r="142" spans="1:6" ht="30.75">
      <c r="A142" s="68" t="s">
        <v>189</v>
      </c>
      <c r="B142" s="69">
        <v>1.0999999999999999E-2</v>
      </c>
      <c r="C142" s="69"/>
      <c r="D142" s="70"/>
      <c r="E142" s="70"/>
      <c r="F142" s="38"/>
    </row>
    <row r="143" spans="1:6" ht="18">
      <c r="A143" s="68" t="s">
        <v>46</v>
      </c>
      <c r="B143" s="69">
        <v>6.3E-3</v>
      </c>
      <c r="C143" s="69"/>
      <c r="D143" s="70"/>
      <c r="E143" s="70"/>
      <c r="F143" s="38"/>
    </row>
    <row r="144" spans="1:6" ht="30.75">
      <c r="A144" s="68" t="s">
        <v>47</v>
      </c>
      <c r="B144" s="69">
        <v>4.0000000000000002E-4</v>
      </c>
      <c r="C144" s="69"/>
      <c r="D144" s="70"/>
      <c r="E144" s="70"/>
      <c r="F144" s="38"/>
    </row>
    <row r="145" spans="1:6" ht="18">
      <c r="A145" s="68" t="s">
        <v>190</v>
      </c>
      <c r="B145" s="69">
        <v>0.24840000000000001</v>
      </c>
      <c r="C145" s="69"/>
      <c r="D145" s="70"/>
      <c r="E145" s="70"/>
      <c r="F145" s="38"/>
    </row>
    <row r="146" spans="1:6" ht="18">
      <c r="A146" s="68" t="s">
        <v>98</v>
      </c>
      <c r="B146" s="69">
        <v>0</v>
      </c>
      <c r="C146" s="69"/>
      <c r="D146" s="70"/>
      <c r="E146" s="70"/>
      <c r="F146" s="38"/>
    </row>
    <row r="147" spans="1:6" ht="30.75">
      <c r="A147" s="68" t="s">
        <v>191</v>
      </c>
      <c r="B147" s="70"/>
      <c r="C147" s="70"/>
      <c r="D147" s="70"/>
      <c r="E147" s="70"/>
      <c r="F147" s="38"/>
    </row>
    <row r="148" spans="1:6" ht="18">
      <c r="A148" s="68" t="s">
        <v>192</v>
      </c>
      <c r="B148" s="69">
        <v>0.44950000000000001</v>
      </c>
      <c r="C148" s="69"/>
      <c r="D148" s="70"/>
      <c r="E148" s="70"/>
      <c r="F148" s="38"/>
    </row>
    <row r="149" spans="1:6" ht="18">
      <c r="A149" s="68" t="s">
        <v>99</v>
      </c>
      <c r="B149" s="69">
        <v>1E-4</v>
      </c>
      <c r="C149" s="69"/>
      <c r="D149" s="70"/>
      <c r="E149" s="70"/>
      <c r="F149" s="38"/>
    </row>
    <row r="150" spans="1:6" ht="18">
      <c r="A150" s="68" t="s">
        <v>194</v>
      </c>
      <c r="B150" s="69">
        <v>0.26590000000000003</v>
      </c>
      <c r="C150" s="69"/>
      <c r="D150" s="70"/>
      <c r="E150" s="70"/>
      <c r="F150" s="38"/>
    </row>
    <row r="151" spans="1:6" ht="18">
      <c r="A151" s="68" t="s">
        <v>195</v>
      </c>
      <c r="B151" s="69">
        <v>2.0000000000000001E-4</v>
      </c>
      <c r="C151" s="69"/>
      <c r="D151" s="70"/>
      <c r="E151" s="70"/>
      <c r="F151" s="38"/>
    </row>
    <row r="152" spans="1:6" ht="46.5">
      <c r="A152" s="68" t="s">
        <v>196</v>
      </c>
      <c r="B152" s="70"/>
      <c r="C152" s="70"/>
      <c r="D152" s="70"/>
      <c r="E152" s="70"/>
      <c r="F152" s="38"/>
    </row>
    <row r="153" spans="1:6" ht="18">
      <c r="A153" s="68" t="s">
        <v>101</v>
      </c>
      <c r="B153" s="69">
        <v>2.7000000000000001E-3</v>
      </c>
      <c r="C153" s="69"/>
      <c r="D153" s="70"/>
      <c r="E153" s="70"/>
      <c r="F153" s="38"/>
    </row>
    <row r="154" spans="1:6" ht="18">
      <c r="A154" s="68" t="s">
        <v>48</v>
      </c>
      <c r="B154" s="69">
        <v>4.4000000000000003E-3</v>
      </c>
      <c r="C154" s="69"/>
      <c r="D154" s="70"/>
      <c r="E154" s="70"/>
      <c r="F154" s="38"/>
    </row>
    <row r="155" spans="1:6" ht="30.75">
      <c r="A155" s="68" t="s">
        <v>197</v>
      </c>
      <c r="B155" s="70"/>
      <c r="C155" s="70"/>
      <c r="D155" s="70"/>
      <c r="E155" s="70"/>
      <c r="F155" s="38"/>
    </row>
    <row r="156" spans="1:6" ht="18">
      <c r="A156" s="68" t="s">
        <v>198</v>
      </c>
      <c r="B156" s="70"/>
      <c r="C156" s="70"/>
      <c r="D156" s="70"/>
      <c r="E156" s="70"/>
      <c r="F156" s="38"/>
    </row>
    <row r="157" spans="1:6" ht="18">
      <c r="A157" s="68" t="s">
        <v>199</v>
      </c>
      <c r="B157" s="69">
        <v>0.42120000000000002</v>
      </c>
      <c r="C157" s="69"/>
      <c r="D157" s="70"/>
      <c r="E157" s="70"/>
      <c r="F157" s="38"/>
    </row>
    <row r="158" spans="1:6" ht="18">
      <c r="A158" s="68" t="s">
        <v>50</v>
      </c>
      <c r="B158" s="69">
        <v>2.9999999999999997E-4</v>
      </c>
      <c r="C158" s="69"/>
      <c r="D158" s="70"/>
      <c r="E158" s="70"/>
      <c r="F158" s="38"/>
    </row>
    <row r="159" spans="1:6" ht="46.5">
      <c r="A159" s="68" t="s">
        <v>49</v>
      </c>
      <c r="B159" s="70"/>
      <c r="C159" s="70"/>
      <c r="D159" s="70"/>
      <c r="E159" s="70"/>
      <c r="F159" s="38"/>
    </row>
    <row r="160" spans="1:6" ht="46.5">
      <c r="A160" s="68" t="s">
        <v>14</v>
      </c>
      <c r="B160" s="69">
        <v>2.5000000000000001E-3</v>
      </c>
      <c r="C160" s="69"/>
      <c r="D160" s="71"/>
      <c r="E160" s="72"/>
      <c r="F160" s="38"/>
    </row>
    <row r="161" spans="1:6" ht="30.75">
      <c r="A161" s="68" t="s">
        <v>51</v>
      </c>
      <c r="B161" s="69">
        <v>2.5000000000000001E-3</v>
      </c>
      <c r="C161" s="69"/>
      <c r="D161" s="71"/>
      <c r="E161" s="72"/>
      <c r="F161" s="38"/>
    </row>
    <row r="162" spans="1:6" ht="18">
      <c r="A162" s="68" t="s">
        <v>102</v>
      </c>
      <c r="B162" s="69">
        <v>1.6000000000000001E-3</v>
      </c>
      <c r="C162" s="69"/>
      <c r="D162" s="70"/>
      <c r="E162" s="70"/>
      <c r="F162" s="38"/>
    </row>
    <row r="163" spans="1:6" ht="30.75">
      <c r="A163" s="68" t="s">
        <v>200</v>
      </c>
      <c r="B163" s="69">
        <v>2.2499999999999999E-2</v>
      </c>
      <c r="C163" s="69"/>
      <c r="D163" s="70"/>
      <c r="E163" s="70"/>
      <c r="F163" s="38"/>
    </row>
    <row r="164" spans="1:6" ht="18">
      <c r="A164" s="68" t="s">
        <v>201</v>
      </c>
      <c r="B164" s="69">
        <v>9.9599999999999994E-2</v>
      </c>
      <c r="C164" s="69"/>
      <c r="D164" s="70"/>
      <c r="E164" s="70"/>
      <c r="F164" s="38"/>
    </row>
    <row r="165" spans="1:6" ht="30.75">
      <c r="A165" s="68" t="s">
        <v>103</v>
      </c>
      <c r="B165" s="70"/>
      <c r="C165" s="70"/>
      <c r="D165" s="70"/>
      <c r="E165" s="70"/>
      <c r="F165" s="38"/>
    </row>
    <row r="166" spans="1:6" ht="18">
      <c r="A166" s="68" t="s">
        <v>104</v>
      </c>
      <c r="B166" s="69">
        <v>9.5999999999999992E-3</v>
      </c>
      <c r="C166" s="69"/>
      <c r="D166" s="38"/>
      <c r="E166" s="38"/>
      <c r="F166" s="38"/>
    </row>
    <row r="167" spans="1:6">
      <c r="A167" s="38"/>
      <c r="B167" s="38"/>
      <c r="C167" s="38"/>
      <c r="D167" s="38"/>
      <c r="E167" s="38"/>
      <c r="F167" s="38"/>
    </row>
    <row r="168" spans="1:6">
      <c r="A168" s="38"/>
      <c r="B168" s="38"/>
      <c r="C168" s="38"/>
      <c r="D168" s="38"/>
      <c r="E168" s="38"/>
      <c r="F168" s="3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075C-EB11-4EB3-9F45-4AB01E61257D}">
  <dimension ref="A1:H178"/>
  <sheetViews>
    <sheetView tabSelected="1" workbookViewId="0">
      <selection activeCell="E2" sqref="E2"/>
    </sheetView>
  </sheetViews>
  <sheetFormatPr defaultRowHeight="15"/>
  <cols>
    <col min="3" max="3" width="9.140625" style="88"/>
  </cols>
  <sheetData>
    <row r="1" spans="1:8" ht="53.25">
      <c r="A1" s="74" t="s">
        <v>0</v>
      </c>
      <c r="B1" s="73" t="s">
        <v>244</v>
      </c>
      <c r="C1" s="75" t="s">
        <v>245</v>
      </c>
      <c r="D1" s="76" t="s">
        <v>246</v>
      </c>
      <c r="E1" s="77" t="s">
        <v>247</v>
      </c>
      <c r="F1" s="77"/>
      <c r="G1" s="77"/>
      <c r="H1" s="73"/>
    </row>
    <row r="2" spans="1:8" ht="53.25">
      <c r="A2" s="74" t="s">
        <v>51</v>
      </c>
      <c r="B2" s="73">
        <v>1</v>
      </c>
      <c r="C2" s="75" t="s">
        <v>248</v>
      </c>
      <c r="D2" s="76">
        <v>75269</v>
      </c>
      <c r="E2" s="77">
        <v>0.25319999999999998</v>
      </c>
      <c r="F2" s="77"/>
      <c r="G2" s="82"/>
      <c r="H2" s="73"/>
    </row>
    <row r="3" spans="1:8" ht="53.25">
      <c r="A3" s="79" t="s">
        <v>11</v>
      </c>
      <c r="B3" s="78">
        <v>2</v>
      </c>
      <c r="C3" s="80" t="s">
        <v>249</v>
      </c>
      <c r="D3" s="81">
        <v>12598</v>
      </c>
      <c r="E3" s="82">
        <v>0.17860000000000001</v>
      </c>
      <c r="F3" s="82"/>
      <c r="G3" s="77"/>
      <c r="H3" s="78"/>
    </row>
    <row r="4" spans="1:8" ht="36">
      <c r="A4" s="74" t="s">
        <v>27</v>
      </c>
      <c r="B4" s="73">
        <v>3</v>
      </c>
      <c r="C4" s="75" t="s">
        <v>250</v>
      </c>
      <c r="D4" s="76">
        <v>34135</v>
      </c>
      <c r="E4" s="77">
        <v>4.2099999999999999E-2</v>
      </c>
      <c r="F4" s="77"/>
      <c r="G4" s="82"/>
      <c r="H4" s="73"/>
    </row>
    <row r="5" spans="1:8" ht="36">
      <c r="A5" s="79" t="s">
        <v>17</v>
      </c>
      <c r="B5" s="78">
        <v>4</v>
      </c>
      <c r="C5" s="80" t="s">
        <v>251</v>
      </c>
      <c r="D5" s="81">
        <v>48845</v>
      </c>
      <c r="E5" s="82">
        <v>4.0500000000000001E-2</v>
      </c>
      <c r="F5" s="82"/>
      <c r="G5" s="77"/>
      <c r="H5" s="78"/>
    </row>
    <row r="6" spans="1:8" ht="36">
      <c r="A6" s="74" t="s">
        <v>21</v>
      </c>
      <c r="B6" s="73">
        <v>5</v>
      </c>
      <c r="C6" s="75" t="s">
        <v>252</v>
      </c>
      <c r="D6" s="76">
        <v>2389</v>
      </c>
      <c r="E6" s="77">
        <v>3.3700000000000001E-2</v>
      </c>
      <c r="F6" s="77"/>
      <c r="G6" s="82"/>
      <c r="H6" s="73"/>
    </row>
    <row r="7" spans="1:8" ht="36">
      <c r="A7" s="79" t="s">
        <v>14</v>
      </c>
      <c r="B7" s="78">
        <v>6</v>
      </c>
      <c r="C7" s="80" t="s">
        <v>253</v>
      </c>
      <c r="D7" s="81">
        <v>45485</v>
      </c>
      <c r="E7" s="82">
        <v>3.0499999999999999E-2</v>
      </c>
      <c r="F7" s="82"/>
      <c r="G7" s="77"/>
      <c r="H7" s="78"/>
    </row>
    <row r="8" spans="1:8" ht="36">
      <c r="A8" s="74" t="s">
        <v>16</v>
      </c>
      <c r="B8" s="73">
        <v>7</v>
      </c>
      <c r="C8" s="75" t="s">
        <v>254</v>
      </c>
      <c r="D8" s="76">
        <v>43061</v>
      </c>
      <c r="E8" s="77">
        <v>2.7699999999999999E-2</v>
      </c>
      <c r="F8" s="77"/>
      <c r="G8" s="82"/>
      <c r="H8" s="73"/>
    </row>
    <row r="9" spans="1:8" ht="36">
      <c r="A9" s="79" t="s">
        <v>39</v>
      </c>
      <c r="B9" s="78">
        <v>8</v>
      </c>
      <c r="C9" s="80" t="s">
        <v>255</v>
      </c>
      <c r="D9" s="81">
        <v>15482</v>
      </c>
      <c r="E9" s="82">
        <v>2.23E-2</v>
      </c>
      <c r="F9" s="82"/>
      <c r="G9" s="77"/>
      <c r="H9" s="78"/>
    </row>
    <row r="10" spans="1:8" ht="36">
      <c r="A10" s="74" t="s">
        <v>9</v>
      </c>
      <c r="B10" s="73">
        <v>9</v>
      </c>
      <c r="C10" s="75" t="s">
        <v>256</v>
      </c>
      <c r="D10" s="76">
        <v>55646</v>
      </c>
      <c r="E10" s="77">
        <v>2.1299999999999999E-2</v>
      </c>
      <c r="F10" s="77"/>
      <c r="G10" s="82"/>
      <c r="H10" s="73"/>
    </row>
    <row r="11" spans="1:8" ht="36">
      <c r="A11" s="79" t="s">
        <v>25</v>
      </c>
      <c r="B11" s="78">
        <v>10</v>
      </c>
      <c r="C11" s="80" t="s">
        <v>257</v>
      </c>
      <c r="D11" s="81">
        <v>34053</v>
      </c>
      <c r="E11" s="82">
        <v>0.02</v>
      </c>
      <c r="F11" s="82"/>
      <c r="G11" s="77"/>
      <c r="H11" s="78"/>
    </row>
    <row r="12" spans="1:8" ht="36">
      <c r="A12" s="74" t="s">
        <v>7</v>
      </c>
      <c r="B12" s="73">
        <v>11</v>
      </c>
      <c r="C12" s="75" t="s">
        <v>258</v>
      </c>
      <c r="D12" s="76">
        <v>8918</v>
      </c>
      <c r="E12" s="77">
        <v>1.9099999999999999E-2</v>
      </c>
      <c r="F12" s="77"/>
      <c r="G12" s="82"/>
      <c r="H12" s="73"/>
    </row>
    <row r="13" spans="1:8" ht="36">
      <c r="A13" s="79" t="s">
        <v>4</v>
      </c>
      <c r="B13" s="78">
        <v>12</v>
      </c>
      <c r="C13" s="80" t="s">
        <v>259</v>
      </c>
      <c r="D13" s="81">
        <v>64003</v>
      </c>
      <c r="E13" s="82">
        <v>1.67E-2</v>
      </c>
      <c r="F13" s="82"/>
      <c r="G13" s="77"/>
      <c r="H13" s="78"/>
    </row>
    <row r="14" spans="1:8" ht="36">
      <c r="A14" s="74" t="s">
        <v>44</v>
      </c>
      <c r="B14" s="73">
        <v>13</v>
      </c>
      <c r="C14" s="75" t="s">
        <v>260</v>
      </c>
      <c r="D14" s="76">
        <v>32138</v>
      </c>
      <c r="E14" s="77">
        <v>1.66E-2</v>
      </c>
      <c r="F14" s="77"/>
      <c r="G14" s="82"/>
      <c r="H14" s="73"/>
    </row>
    <row r="15" spans="1:8" ht="36">
      <c r="A15" s="79" t="s">
        <v>30</v>
      </c>
      <c r="B15" s="78">
        <v>14</v>
      </c>
      <c r="C15" s="80" t="s">
        <v>261</v>
      </c>
      <c r="D15" s="81">
        <v>11091</v>
      </c>
      <c r="E15" s="82">
        <v>1.41E-2</v>
      </c>
      <c r="F15" s="82"/>
      <c r="G15" s="77"/>
      <c r="H15" s="78"/>
    </row>
    <row r="16" spans="1:8" ht="36">
      <c r="A16" s="74" t="s">
        <v>45</v>
      </c>
      <c r="B16" s="73">
        <v>15</v>
      </c>
      <c r="C16" s="75" t="s">
        <v>262</v>
      </c>
      <c r="D16" s="76">
        <v>29385</v>
      </c>
      <c r="E16" s="77">
        <v>1.3899999999999999E-2</v>
      </c>
      <c r="F16" s="77"/>
      <c r="G16" s="82"/>
      <c r="H16" s="73"/>
    </row>
    <row r="17" spans="1:8" ht="36">
      <c r="A17" s="79" t="s">
        <v>22</v>
      </c>
      <c r="B17" s="78">
        <v>16</v>
      </c>
      <c r="C17" s="80" t="s">
        <v>263</v>
      </c>
      <c r="D17" s="81">
        <v>4788</v>
      </c>
      <c r="E17" s="82">
        <v>1.3100000000000001E-2</v>
      </c>
      <c r="F17" s="82"/>
      <c r="G17" s="77"/>
      <c r="H17" s="78"/>
    </row>
    <row r="18" spans="1:8" ht="36">
      <c r="A18" s="74" t="s">
        <v>40</v>
      </c>
      <c r="B18" s="73">
        <v>17</v>
      </c>
      <c r="C18" s="75" t="s">
        <v>264</v>
      </c>
      <c r="D18" s="76">
        <v>30436</v>
      </c>
      <c r="E18" s="77">
        <v>1.0999999999999999E-2</v>
      </c>
      <c r="F18" s="77"/>
      <c r="G18" s="82"/>
      <c r="H18" s="73"/>
    </row>
    <row r="19" spans="1:8" ht="36">
      <c r="A19" s="79" t="s">
        <v>31</v>
      </c>
      <c r="B19" s="78">
        <v>18</v>
      </c>
      <c r="C19" s="80" t="s">
        <v>265</v>
      </c>
      <c r="D19" s="81">
        <v>56429</v>
      </c>
      <c r="E19" s="82">
        <v>9.9000000000000008E-3</v>
      </c>
      <c r="F19" s="82"/>
      <c r="G19" s="77"/>
      <c r="H19" s="78"/>
    </row>
    <row r="20" spans="1:8" ht="36">
      <c r="A20" s="74" t="s">
        <v>48</v>
      </c>
      <c r="B20" s="73">
        <v>19</v>
      </c>
      <c r="C20" s="75" t="s">
        <v>266</v>
      </c>
      <c r="D20" s="76">
        <v>10616</v>
      </c>
      <c r="E20" s="77">
        <v>8.9999999999999993E-3</v>
      </c>
      <c r="F20" s="77"/>
      <c r="G20" s="82"/>
      <c r="H20" s="73"/>
    </row>
    <row r="21" spans="1:8" ht="36">
      <c r="A21" s="79" t="s">
        <v>47</v>
      </c>
      <c r="B21" s="78">
        <v>20</v>
      </c>
      <c r="C21" s="80" t="s">
        <v>267</v>
      </c>
      <c r="D21" s="81">
        <v>92410</v>
      </c>
      <c r="E21" s="82">
        <v>8.0000000000000002E-3</v>
      </c>
      <c r="F21" s="82"/>
      <c r="G21" s="77"/>
      <c r="H21" s="78"/>
    </row>
    <row r="22" spans="1:8" ht="36">
      <c r="A22" s="74" t="s">
        <v>36</v>
      </c>
      <c r="B22" s="73">
        <v>21</v>
      </c>
      <c r="C22" s="75" t="s">
        <v>268</v>
      </c>
      <c r="D22" s="76">
        <v>17266</v>
      </c>
      <c r="E22" s="77">
        <v>6.7999999999999996E-3</v>
      </c>
      <c r="F22" s="77"/>
      <c r="G22" s="82"/>
      <c r="H22" s="73"/>
    </row>
    <row r="23" spans="1:8" ht="36">
      <c r="A23" s="79" t="s">
        <v>3</v>
      </c>
      <c r="B23" s="78">
        <v>22</v>
      </c>
      <c r="C23" s="80" t="s">
        <v>269</v>
      </c>
      <c r="D23" s="81">
        <v>13904</v>
      </c>
      <c r="E23" s="82">
        <v>6.3E-3</v>
      </c>
      <c r="F23" s="82"/>
      <c r="G23" s="77"/>
      <c r="H23" s="78"/>
    </row>
    <row r="24" spans="1:8" ht="36">
      <c r="A24" s="74" t="s">
        <v>46</v>
      </c>
      <c r="B24" s="73">
        <v>23</v>
      </c>
      <c r="C24" s="75" t="s">
        <v>270</v>
      </c>
      <c r="D24" s="76">
        <v>55543</v>
      </c>
      <c r="E24" s="77">
        <v>5.7999999999999996E-3</v>
      </c>
      <c r="F24" s="77"/>
      <c r="G24" s="82"/>
      <c r="H24" s="73"/>
    </row>
    <row r="25" spans="1:8" ht="36">
      <c r="A25" s="79" t="s">
        <v>35</v>
      </c>
      <c r="B25" s="78">
        <v>24</v>
      </c>
      <c r="C25" s="80" t="s">
        <v>271</v>
      </c>
      <c r="D25" s="81">
        <v>106594</v>
      </c>
      <c r="E25" s="82">
        <v>5.7999999999999996E-3</v>
      </c>
      <c r="F25" s="82"/>
      <c r="G25" s="77"/>
      <c r="H25" s="78"/>
    </row>
    <row r="26" spans="1:8" ht="36">
      <c r="A26" s="74" t="s">
        <v>6</v>
      </c>
      <c r="B26" s="73">
        <v>25</v>
      </c>
      <c r="C26" s="75" t="s">
        <v>271</v>
      </c>
      <c r="D26" s="76">
        <v>49640</v>
      </c>
      <c r="E26" s="77">
        <v>5.7999999999999996E-3</v>
      </c>
      <c r="F26" s="77"/>
      <c r="G26" s="82"/>
      <c r="H26" s="73"/>
    </row>
    <row r="27" spans="1:8" ht="36">
      <c r="A27" s="79" t="s">
        <v>23</v>
      </c>
      <c r="B27" s="78">
        <v>26</v>
      </c>
      <c r="C27" s="80" t="s">
        <v>272</v>
      </c>
      <c r="D27" s="81">
        <v>105362</v>
      </c>
      <c r="E27" s="82">
        <v>5.3E-3</v>
      </c>
      <c r="F27" s="82"/>
      <c r="G27" s="77"/>
      <c r="H27" s="78"/>
    </row>
    <row r="28" spans="1:8" ht="36">
      <c r="A28" s="74" t="s">
        <v>24</v>
      </c>
      <c r="B28" s="73">
        <v>27</v>
      </c>
      <c r="C28" s="75" t="s">
        <v>273</v>
      </c>
      <c r="D28" s="76">
        <v>57758</v>
      </c>
      <c r="E28" s="77">
        <v>5.1999999999999998E-3</v>
      </c>
      <c r="F28" s="77"/>
      <c r="G28" s="82"/>
      <c r="H28" s="73"/>
    </row>
    <row r="29" spans="1:8" ht="43.5">
      <c r="A29" s="79" t="s">
        <v>49</v>
      </c>
      <c r="B29" s="78">
        <v>28</v>
      </c>
      <c r="C29" s="80" t="s">
        <v>274</v>
      </c>
      <c r="D29" s="81">
        <v>53758</v>
      </c>
      <c r="E29" s="82">
        <v>5.0000000000000001E-3</v>
      </c>
      <c r="F29" s="82"/>
      <c r="G29" s="77"/>
      <c r="H29" s="78"/>
    </row>
    <row r="30" spans="1:8" ht="36">
      <c r="A30" s="74" t="s">
        <v>99</v>
      </c>
      <c r="B30" s="73">
        <v>29</v>
      </c>
      <c r="C30" s="75" t="s">
        <v>275</v>
      </c>
      <c r="D30" s="76">
        <v>6909</v>
      </c>
      <c r="E30" s="77">
        <v>4.8999999999999998E-3</v>
      </c>
      <c r="F30" s="77"/>
      <c r="G30" s="82"/>
      <c r="H30" s="73"/>
    </row>
    <row r="31" spans="1:8" ht="36">
      <c r="A31" s="79" t="s">
        <v>33</v>
      </c>
      <c r="B31" s="78">
        <v>30</v>
      </c>
      <c r="C31" s="80" t="s">
        <v>276</v>
      </c>
      <c r="D31" s="81">
        <v>2184</v>
      </c>
      <c r="E31" s="82">
        <v>4.7000000000000002E-3</v>
      </c>
      <c r="F31" s="82"/>
      <c r="G31" s="77"/>
      <c r="H31" s="78"/>
    </row>
    <row r="32" spans="1:8" ht="36">
      <c r="A32" s="74" t="s">
        <v>68</v>
      </c>
      <c r="B32" s="73">
        <v>31</v>
      </c>
      <c r="C32" s="75" t="s">
        <v>276</v>
      </c>
      <c r="D32" s="76">
        <v>4295</v>
      </c>
      <c r="E32" s="77">
        <v>4.7000000000000002E-3</v>
      </c>
      <c r="F32" s="77"/>
      <c r="G32" s="82"/>
      <c r="H32" s="73"/>
    </row>
    <row r="33" spans="1:8" ht="36">
      <c r="A33" s="79" t="s">
        <v>5</v>
      </c>
      <c r="B33" s="78">
        <v>32</v>
      </c>
      <c r="C33" s="80" t="s">
        <v>277</v>
      </c>
      <c r="D33" s="81">
        <v>52732</v>
      </c>
      <c r="E33" s="82">
        <v>4.7000000000000002E-3</v>
      </c>
      <c r="F33" s="82"/>
      <c r="G33" s="77"/>
      <c r="H33" s="78"/>
    </row>
    <row r="34" spans="1:8" ht="36">
      <c r="A34" s="74" t="s">
        <v>42</v>
      </c>
      <c r="B34" s="73">
        <v>33</v>
      </c>
      <c r="C34" s="75" t="s">
        <v>278</v>
      </c>
      <c r="D34" s="76">
        <v>78115</v>
      </c>
      <c r="E34" s="77">
        <v>4.5999999999999999E-3</v>
      </c>
      <c r="F34" s="77"/>
      <c r="G34" s="82"/>
      <c r="H34" s="73"/>
    </row>
    <row r="35" spans="1:8" ht="36">
      <c r="A35" s="79" t="s">
        <v>58</v>
      </c>
      <c r="B35" s="78">
        <v>34</v>
      </c>
      <c r="C35" s="80" t="s">
        <v>279</v>
      </c>
      <c r="D35" s="81">
        <v>2688</v>
      </c>
      <c r="E35" s="82">
        <v>4.5999999999999999E-3</v>
      </c>
      <c r="F35" s="82"/>
      <c r="G35" s="77"/>
      <c r="H35" s="78"/>
    </row>
    <row r="36" spans="1:8" ht="36">
      <c r="A36" s="74" t="s">
        <v>104</v>
      </c>
      <c r="B36" s="73">
        <v>35</v>
      </c>
      <c r="C36" s="75" t="s">
        <v>280</v>
      </c>
      <c r="D36" s="76">
        <v>4164</v>
      </c>
      <c r="E36" s="77">
        <v>4.1000000000000003E-3</v>
      </c>
      <c r="F36" s="77"/>
      <c r="G36" s="82"/>
      <c r="H36" s="73"/>
    </row>
    <row r="37" spans="1:8" ht="36">
      <c r="A37" s="79" t="s">
        <v>29</v>
      </c>
      <c r="B37" s="78">
        <v>36</v>
      </c>
      <c r="C37" s="80" t="s">
        <v>281</v>
      </c>
      <c r="D37" s="81">
        <v>11972</v>
      </c>
      <c r="E37" s="82">
        <v>4.0000000000000001E-3</v>
      </c>
      <c r="F37" s="82"/>
      <c r="G37" s="77"/>
      <c r="H37" s="78"/>
    </row>
    <row r="38" spans="1:8" ht="36">
      <c r="A38" s="74" t="s">
        <v>43</v>
      </c>
      <c r="B38" s="73">
        <v>37</v>
      </c>
      <c r="C38" s="75" t="s">
        <v>281</v>
      </c>
      <c r="D38" s="76">
        <v>6776</v>
      </c>
      <c r="E38" s="77">
        <v>4.0000000000000001E-3</v>
      </c>
      <c r="F38" s="77"/>
      <c r="G38" s="82"/>
      <c r="H38" s="73"/>
    </row>
    <row r="39" spans="1:8" ht="36">
      <c r="A39" s="79" t="s">
        <v>91</v>
      </c>
      <c r="B39" s="78">
        <v>38</v>
      </c>
      <c r="C39" s="80" t="s">
        <v>282</v>
      </c>
      <c r="D39" s="81">
        <v>3499</v>
      </c>
      <c r="E39" s="82">
        <v>4.0000000000000001E-3</v>
      </c>
      <c r="F39" s="82"/>
      <c r="G39" s="77"/>
      <c r="H39" s="78"/>
    </row>
    <row r="40" spans="1:8" ht="36">
      <c r="A40" s="74" t="s">
        <v>13</v>
      </c>
      <c r="B40" s="73">
        <v>39</v>
      </c>
      <c r="C40" s="75" t="s">
        <v>283</v>
      </c>
      <c r="D40" s="76">
        <v>67220</v>
      </c>
      <c r="E40" s="77">
        <v>3.8999999999999998E-3</v>
      </c>
      <c r="F40" s="77"/>
      <c r="G40" s="82"/>
      <c r="H40" s="73"/>
    </row>
    <row r="41" spans="1:8" ht="36">
      <c r="A41" s="79" t="s">
        <v>74</v>
      </c>
      <c r="B41" s="78">
        <v>40</v>
      </c>
      <c r="C41" s="80" t="s">
        <v>284</v>
      </c>
      <c r="D41" s="81">
        <v>4388</v>
      </c>
      <c r="E41" s="82">
        <v>3.8999999999999998E-3</v>
      </c>
      <c r="F41" s="82"/>
      <c r="G41" s="77"/>
      <c r="H41" s="78"/>
    </row>
    <row r="42" spans="1:8" ht="36">
      <c r="A42" s="74" t="s">
        <v>88</v>
      </c>
      <c r="B42" s="73">
        <v>41</v>
      </c>
      <c r="C42" s="75" t="s">
        <v>285</v>
      </c>
      <c r="D42" s="76">
        <v>1597</v>
      </c>
      <c r="E42" s="77">
        <v>3.7000000000000002E-3</v>
      </c>
      <c r="F42" s="77"/>
      <c r="G42" s="82"/>
      <c r="H42" s="73"/>
    </row>
    <row r="43" spans="1:8" ht="36">
      <c r="A43" s="79" t="s">
        <v>19</v>
      </c>
      <c r="B43" s="78">
        <v>42</v>
      </c>
      <c r="C43" s="80" t="s">
        <v>286</v>
      </c>
      <c r="D43" s="81">
        <v>48050</v>
      </c>
      <c r="E43" s="82">
        <v>3.5999999999999999E-3</v>
      </c>
      <c r="F43" s="82"/>
      <c r="G43" s="77"/>
      <c r="H43" s="78"/>
    </row>
    <row r="44" spans="1:8" ht="36">
      <c r="A44" s="74" t="s">
        <v>61</v>
      </c>
      <c r="B44" s="73">
        <v>43</v>
      </c>
      <c r="C44" s="75" t="s">
        <v>287</v>
      </c>
      <c r="D44" s="76">
        <v>6630</v>
      </c>
      <c r="E44" s="77">
        <v>3.3999999999999998E-3</v>
      </c>
      <c r="F44" s="77"/>
      <c r="G44" s="82"/>
      <c r="H44" s="73"/>
    </row>
    <row r="45" spans="1:8" ht="36">
      <c r="A45" s="79" t="s">
        <v>38</v>
      </c>
      <c r="B45" s="78">
        <v>44</v>
      </c>
      <c r="C45" s="80" t="s">
        <v>288</v>
      </c>
      <c r="D45" s="81">
        <v>15324</v>
      </c>
      <c r="E45" s="82">
        <v>3.0000000000000001E-3</v>
      </c>
      <c r="F45" s="82"/>
      <c r="G45" s="77"/>
      <c r="H45" s="78"/>
    </row>
    <row r="46" spans="1:8" ht="36">
      <c r="A46" s="74" t="s">
        <v>10</v>
      </c>
      <c r="B46" s="73">
        <v>45</v>
      </c>
      <c r="C46" s="75" t="s">
        <v>288</v>
      </c>
      <c r="D46" s="76">
        <v>15355</v>
      </c>
      <c r="E46" s="77">
        <v>3.0000000000000001E-3</v>
      </c>
      <c r="F46" s="77"/>
      <c r="G46" s="82"/>
      <c r="H46" s="73"/>
    </row>
    <row r="47" spans="1:8" ht="43.5">
      <c r="A47" s="79" t="s">
        <v>289</v>
      </c>
      <c r="B47" s="78">
        <v>46</v>
      </c>
      <c r="C47" s="80" t="s">
        <v>290</v>
      </c>
      <c r="D47" s="81">
        <v>27723</v>
      </c>
      <c r="E47" s="82">
        <v>2.8999999999999998E-3</v>
      </c>
      <c r="F47" s="82"/>
      <c r="G47" s="77"/>
      <c r="H47" s="78"/>
    </row>
    <row r="48" spans="1:8" ht="36">
      <c r="A48" s="74" t="s">
        <v>15</v>
      </c>
      <c r="B48" s="73">
        <v>47</v>
      </c>
      <c r="C48" s="75" t="s">
        <v>291</v>
      </c>
      <c r="D48" s="76">
        <v>50684</v>
      </c>
      <c r="E48" s="77">
        <v>2.8E-3</v>
      </c>
      <c r="F48" s="77"/>
      <c r="G48" s="82"/>
      <c r="H48" s="73"/>
    </row>
    <row r="49" spans="1:8" ht="36">
      <c r="A49" s="79" t="s">
        <v>75</v>
      </c>
      <c r="B49" s="78">
        <v>48</v>
      </c>
      <c r="C49" s="80" t="s">
        <v>292</v>
      </c>
      <c r="D49" s="81">
        <v>5937</v>
      </c>
      <c r="E49" s="82">
        <v>2.5999999999999999E-3</v>
      </c>
      <c r="F49" s="82"/>
      <c r="G49" s="77"/>
      <c r="H49" s="78"/>
    </row>
    <row r="50" spans="1:8" ht="36">
      <c r="A50" s="74" t="s">
        <v>37</v>
      </c>
      <c r="B50" s="73">
        <v>49</v>
      </c>
      <c r="C50" s="75" t="s">
        <v>293</v>
      </c>
      <c r="D50" s="76">
        <v>24530</v>
      </c>
      <c r="E50" s="77">
        <v>2.5000000000000001E-3</v>
      </c>
      <c r="F50" s="77"/>
      <c r="G50" s="82"/>
      <c r="H50" s="73"/>
    </row>
    <row r="51" spans="1:8" ht="36">
      <c r="A51" s="79" t="s">
        <v>32</v>
      </c>
      <c r="B51" s="78">
        <v>50</v>
      </c>
      <c r="C51" s="80" t="s">
        <v>294</v>
      </c>
      <c r="D51" s="81">
        <v>47680</v>
      </c>
      <c r="E51" s="82">
        <v>2.5000000000000001E-3</v>
      </c>
      <c r="F51" s="82"/>
      <c r="G51" s="77"/>
      <c r="H51" s="78"/>
    </row>
    <row r="52" spans="1:8" ht="36">
      <c r="A52" s="74" t="s">
        <v>90</v>
      </c>
      <c r="B52" s="73">
        <v>51</v>
      </c>
      <c r="C52" s="75" t="s">
        <v>295</v>
      </c>
      <c r="D52" s="76">
        <v>7126</v>
      </c>
      <c r="E52" s="77">
        <v>2.3999999999999998E-3</v>
      </c>
      <c r="F52" s="77"/>
      <c r="G52" s="82"/>
      <c r="H52" s="73"/>
    </row>
    <row r="53" spans="1:8" ht="36">
      <c r="A53" s="79" t="s">
        <v>93</v>
      </c>
      <c r="B53" s="78">
        <v>52</v>
      </c>
      <c r="C53" s="80" t="s">
        <v>296</v>
      </c>
      <c r="D53" s="81">
        <v>88046</v>
      </c>
      <c r="E53" s="82">
        <v>2.3999999999999998E-3</v>
      </c>
      <c r="F53" s="82"/>
      <c r="G53" s="77"/>
      <c r="H53" s="78"/>
    </row>
    <row r="54" spans="1:8" ht="36">
      <c r="A54" s="74" t="s">
        <v>77</v>
      </c>
      <c r="B54" s="73">
        <v>53</v>
      </c>
      <c r="C54" s="75" t="s">
        <v>297</v>
      </c>
      <c r="D54" s="76">
        <v>11373</v>
      </c>
      <c r="E54" s="77">
        <v>2.2000000000000001E-3</v>
      </c>
      <c r="F54" s="77"/>
      <c r="G54" s="82"/>
      <c r="H54" s="73"/>
    </row>
    <row r="55" spans="1:8" ht="36">
      <c r="A55" s="79" t="s">
        <v>18</v>
      </c>
      <c r="B55" s="78">
        <v>54</v>
      </c>
      <c r="C55" s="80" t="s">
        <v>298</v>
      </c>
      <c r="D55" s="81">
        <v>21095</v>
      </c>
      <c r="E55" s="82">
        <v>2.2000000000000001E-3</v>
      </c>
      <c r="F55" s="82"/>
      <c r="G55" s="77"/>
      <c r="H55" s="78"/>
    </row>
    <row r="56" spans="1:8" ht="36">
      <c r="A56" s="74" t="s">
        <v>56</v>
      </c>
      <c r="B56" s="73">
        <v>55</v>
      </c>
      <c r="C56" s="75" t="s">
        <v>299</v>
      </c>
      <c r="D56" s="76">
        <v>4274</v>
      </c>
      <c r="E56" s="77">
        <v>1.9E-3</v>
      </c>
      <c r="F56" s="77"/>
      <c r="G56" s="82"/>
      <c r="H56" s="73"/>
    </row>
    <row r="57" spans="1:8" ht="36">
      <c r="A57" s="79" t="s">
        <v>79</v>
      </c>
      <c r="B57" s="78">
        <v>56</v>
      </c>
      <c r="C57" s="80" t="s">
        <v>300</v>
      </c>
      <c r="D57" s="81">
        <v>43233</v>
      </c>
      <c r="E57" s="82">
        <v>1.8E-3</v>
      </c>
      <c r="F57" s="82"/>
      <c r="G57" s="77"/>
      <c r="H57" s="78"/>
    </row>
    <row r="58" spans="1:8" ht="36">
      <c r="A58" s="74" t="s">
        <v>73</v>
      </c>
      <c r="B58" s="73">
        <v>57</v>
      </c>
      <c r="C58" s="75" t="s">
        <v>301</v>
      </c>
      <c r="D58" s="76">
        <v>17938</v>
      </c>
      <c r="E58" s="77">
        <v>1.8E-3</v>
      </c>
      <c r="F58" s="77"/>
      <c r="G58" s="82"/>
      <c r="H58" s="73"/>
    </row>
    <row r="59" spans="1:8" ht="36">
      <c r="A59" s="79" t="s">
        <v>50</v>
      </c>
      <c r="B59" s="78">
        <v>58</v>
      </c>
      <c r="C59" s="80" t="s">
        <v>302</v>
      </c>
      <c r="D59" s="81">
        <v>4043</v>
      </c>
      <c r="E59" s="82">
        <v>1.6000000000000001E-3</v>
      </c>
      <c r="F59" s="82"/>
      <c r="G59" s="77"/>
      <c r="H59" s="78"/>
    </row>
    <row r="60" spans="1:8" ht="36">
      <c r="A60" s="74" t="s">
        <v>84</v>
      </c>
      <c r="B60" s="73">
        <v>59</v>
      </c>
      <c r="C60" s="75" t="s">
        <v>303</v>
      </c>
      <c r="D60" s="76">
        <v>3582</v>
      </c>
      <c r="E60" s="77">
        <v>1.2999999999999999E-3</v>
      </c>
      <c r="F60" s="77"/>
      <c r="G60" s="82"/>
      <c r="H60" s="73"/>
    </row>
    <row r="61" spans="1:8" ht="36">
      <c r="A61" s="79" t="s">
        <v>137</v>
      </c>
      <c r="B61" s="78">
        <v>60</v>
      </c>
      <c r="C61" s="80" t="s">
        <v>304</v>
      </c>
      <c r="D61" s="81">
        <v>1028</v>
      </c>
      <c r="E61" s="82">
        <v>1.2999999999999999E-3</v>
      </c>
      <c r="F61" s="82"/>
      <c r="G61" s="77"/>
      <c r="H61" s="78"/>
    </row>
    <row r="62" spans="1:8" ht="36">
      <c r="A62" s="74" t="s">
        <v>95</v>
      </c>
      <c r="B62" s="73">
        <v>61</v>
      </c>
      <c r="C62" s="75" t="s">
        <v>305</v>
      </c>
      <c r="D62" s="76">
        <v>20461</v>
      </c>
      <c r="E62" s="77">
        <v>1.1000000000000001E-3</v>
      </c>
      <c r="F62" s="77"/>
      <c r="G62" s="82"/>
      <c r="H62" s="73"/>
    </row>
    <row r="63" spans="1:8" ht="36">
      <c r="A63" s="79" t="s">
        <v>67</v>
      </c>
      <c r="B63" s="78">
        <v>62</v>
      </c>
      <c r="C63" s="80" t="s">
        <v>305</v>
      </c>
      <c r="D63" s="81">
        <v>6391</v>
      </c>
      <c r="E63" s="82">
        <v>1.1000000000000001E-3</v>
      </c>
      <c r="F63" s="82"/>
      <c r="G63" s="77"/>
      <c r="H63" s="78"/>
    </row>
    <row r="64" spans="1:8" ht="36">
      <c r="A64" s="74" t="s">
        <v>87</v>
      </c>
      <c r="B64" s="73">
        <v>63</v>
      </c>
      <c r="C64" s="75" t="s">
        <v>305</v>
      </c>
      <c r="D64" s="76">
        <v>25057</v>
      </c>
      <c r="E64" s="77">
        <v>1.1000000000000001E-3</v>
      </c>
      <c r="F64" s="77"/>
      <c r="G64" s="82"/>
      <c r="H64" s="73"/>
    </row>
    <row r="65" spans="1:8" ht="43.5">
      <c r="A65" s="79" t="s">
        <v>66</v>
      </c>
      <c r="B65" s="78">
        <v>64</v>
      </c>
      <c r="C65" s="80" t="s">
        <v>306</v>
      </c>
      <c r="D65" s="81">
        <v>10121</v>
      </c>
      <c r="E65" s="82">
        <v>1.1000000000000001E-3</v>
      </c>
      <c r="F65" s="82"/>
      <c r="G65" s="77"/>
      <c r="H65" s="78"/>
    </row>
    <row r="66" spans="1:8" ht="36">
      <c r="A66" s="74" t="s">
        <v>78</v>
      </c>
      <c r="B66" s="73">
        <v>65</v>
      </c>
      <c r="C66" s="75" t="s">
        <v>307</v>
      </c>
      <c r="D66" s="76">
        <v>2099</v>
      </c>
      <c r="E66" s="77">
        <v>1.1000000000000001E-3</v>
      </c>
      <c r="F66" s="77"/>
      <c r="G66" s="82"/>
      <c r="H66" s="73"/>
    </row>
    <row r="67" spans="1:8" ht="36">
      <c r="A67" s="79" t="s">
        <v>108</v>
      </c>
      <c r="B67" s="78">
        <v>66</v>
      </c>
      <c r="C67" s="80" t="s">
        <v>308</v>
      </c>
      <c r="D67" s="81">
        <v>2999</v>
      </c>
      <c r="E67" s="82">
        <v>1.1000000000000001E-3</v>
      </c>
      <c r="F67" s="82"/>
      <c r="G67" s="77"/>
      <c r="H67" s="78"/>
    </row>
    <row r="68" spans="1:8" ht="36">
      <c r="A68" s="74" t="s">
        <v>71</v>
      </c>
      <c r="B68" s="73">
        <v>67</v>
      </c>
      <c r="C68" s="75" t="s">
        <v>309</v>
      </c>
      <c r="D68" s="76">
        <v>5324</v>
      </c>
      <c r="E68" s="77">
        <v>8.9999999999999998E-4</v>
      </c>
      <c r="F68" s="77"/>
      <c r="G68" s="82"/>
      <c r="H68" s="73"/>
    </row>
    <row r="69" spans="1:8" ht="36">
      <c r="A69" s="79" t="s">
        <v>8</v>
      </c>
      <c r="B69" s="78">
        <v>68</v>
      </c>
      <c r="C69" s="80" t="s">
        <v>310</v>
      </c>
      <c r="D69" s="81">
        <v>13129</v>
      </c>
      <c r="E69" s="82">
        <v>8.9999999999999998E-4</v>
      </c>
      <c r="F69" s="82"/>
      <c r="G69" s="77"/>
      <c r="H69" s="78"/>
    </row>
    <row r="70" spans="1:8" ht="36">
      <c r="A70" s="74" t="s">
        <v>82</v>
      </c>
      <c r="B70" s="73">
        <v>69</v>
      </c>
      <c r="C70" s="75" t="s">
        <v>311</v>
      </c>
      <c r="D70" s="76">
        <v>127046</v>
      </c>
      <c r="E70" s="77">
        <v>8.0000000000000004E-4</v>
      </c>
      <c r="F70" s="77"/>
      <c r="G70" s="82"/>
      <c r="H70" s="73"/>
    </row>
    <row r="71" spans="1:8" ht="36">
      <c r="A71" s="79" t="s">
        <v>200</v>
      </c>
      <c r="B71" s="78">
        <v>70</v>
      </c>
      <c r="C71" s="80" t="s">
        <v>312</v>
      </c>
      <c r="D71" s="81">
        <v>2322</v>
      </c>
      <c r="E71" s="82">
        <v>8.0000000000000004E-4</v>
      </c>
      <c r="F71" s="82"/>
      <c r="G71" s="77"/>
      <c r="H71" s="78"/>
    </row>
    <row r="72" spans="1:8" ht="36">
      <c r="A72" s="74" t="s">
        <v>57</v>
      </c>
      <c r="B72" s="73">
        <v>71</v>
      </c>
      <c r="C72" s="75" t="s">
        <v>313</v>
      </c>
      <c r="D72" s="76">
        <v>7600</v>
      </c>
      <c r="E72" s="77">
        <v>8.0000000000000004E-4</v>
      </c>
      <c r="F72" s="77"/>
      <c r="G72" s="82"/>
      <c r="H72" s="73"/>
    </row>
    <row r="73" spans="1:8" ht="36">
      <c r="A73" s="79" t="s">
        <v>89</v>
      </c>
      <c r="B73" s="78">
        <v>72</v>
      </c>
      <c r="C73" s="80" t="s">
        <v>314</v>
      </c>
      <c r="D73" s="81">
        <v>17358</v>
      </c>
      <c r="E73" s="82">
        <v>8.0000000000000004E-4</v>
      </c>
      <c r="F73" s="82"/>
      <c r="G73" s="77"/>
      <c r="H73" s="78"/>
    </row>
    <row r="74" spans="1:8" ht="36">
      <c r="A74" s="74" t="s">
        <v>192</v>
      </c>
      <c r="B74" s="73">
        <v>73</v>
      </c>
      <c r="C74" s="75" t="s">
        <v>315</v>
      </c>
      <c r="D74" s="76">
        <v>1156</v>
      </c>
      <c r="E74" s="77">
        <v>8.0000000000000004E-4</v>
      </c>
      <c r="F74" s="77"/>
      <c r="G74" s="82"/>
      <c r="H74" s="73"/>
    </row>
    <row r="75" spans="1:8" ht="36">
      <c r="A75" s="79" t="s">
        <v>97</v>
      </c>
      <c r="B75" s="78">
        <v>74</v>
      </c>
      <c r="C75" s="80" t="s">
        <v>316</v>
      </c>
      <c r="D75" s="81">
        <v>3408</v>
      </c>
      <c r="E75" s="82">
        <v>6.9999999999999999E-4</v>
      </c>
      <c r="F75" s="82"/>
      <c r="G75" s="77"/>
      <c r="H75" s="78"/>
    </row>
    <row r="76" spans="1:8" ht="36">
      <c r="A76" s="74" t="s">
        <v>141</v>
      </c>
      <c r="B76" s="73">
        <v>75</v>
      </c>
      <c r="C76" s="75" t="s">
        <v>317</v>
      </c>
      <c r="D76" s="76">
        <v>2176</v>
      </c>
      <c r="E76" s="77">
        <v>6.9999999999999999E-4</v>
      </c>
      <c r="F76" s="77"/>
      <c r="G76" s="82"/>
      <c r="H76" s="73"/>
    </row>
    <row r="77" spans="1:8" ht="36">
      <c r="A77" s="79" t="s">
        <v>59</v>
      </c>
      <c r="B77" s="78">
        <v>76</v>
      </c>
      <c r="C77" s="80" t="s">
        <v>318</v>
      </c>
      <c r="D77" s="81">
        <v>7634</v>
      </c>
      <c r="E77" s="82">
        <v>6.9999999999999999E-4</v>
      </c>
      <c r="F77" s="82"/>
      <c r="G77" s="77"/>
      <c r="H77" s="78"/>
    </row>
    <row r="78" spans="1:8" ht="36">
      <c r="A78" s="74" t="s">
        <v>102</v>
      </c>
      <c r="B78" s="73">
        <v>77</v>
      </c>
      <c r="C78" s="75" t="s">
        <v>319</v>
      </c>
      <c r="D78" s="76">
        <v>20795</v>
      </c>
      <c r="E78" s="77">
        <v>6.9999999999999999E-4</v>
      </c>
      <c r="F78" s="77"/>
      <c r="G78" s="82"/>
      <c r="H78" s="73"/>
    </row>
    <row r="79" spans="1:8" ht="36">
      <c r="A79" s="79" t="s">
        <v>63</v>
      </c>
      <c r="B79" s="78">
        <v>78</v>
      </c>
      <c r="C79" s="80" t="s">
        <v>320</v>
      </c>
      <c r="D79" s="81">
        <v>17608</v>
      </c>
      <c r="E79" s="82">
        <v>6.9999999999999999E-4</v>
      </c>
      <c r="F79" s="82"/>
      <c r="G79" s="77"/>
      <c r="H79" s="78"/>
    </row>
    <row r="80" spans="1:8" ht="36">
      <c r="A80" s="74" t="s">
        <v>28</v>
      </c>
      <c r="B80" s="73">
        <v>79</v>
      </c>
      <c r="C80" s="75" t="s">
        <v>321</v>
      </c>
      <c r="D80" s="76">
        <v>25576</v>
      </c>
      <c r="E80" s="77">
        <v>6.9999999999999999E-4</v>
      </c>
      <c r="F80" s="77"/>
      <c r="G80" s="82"/>
      <c r="H80" s="73"/>
    </row>
    <row r="81" spans="1:8" ht="36">
      <c r="A81" s="79" t="s">
        <v>322</v>
      </c>
      <c r="B81" s="78">
        <v>80</v>
      </c>
      <c r="C81" s="80" t="s">
        <v>323</v>
      </c>
      <c r="D81" s="81">
        <v>2486</v>
      </c>
      <c r="E81" s="82">
        <v>6.9999999999999999E-4</v>
      </c>
      <c r="F81" s="82"/>
      <c r="G81" s="77"/>
      <c r="H81" s="78"/>
    </row>
    <row r="82" spans="1:8" ht="36">
      <c r="A82" s="74" t="s">
        <v>62</v>
      </c>
      <c r="B82" s="73">
        <v>81</v>
      </c>
      <c r="C82" s="75" t="s">
        <v>324</v>
      </c>
      <c r="D82" s="76">
        <v>13199</v>
      </c>
      <c r="E82" s="77">
        <v>6.9999999999999999E-4</v>
      </c>
      <c r="F82" s="77"/>
      <c r="G82" s="82"/>
      <c r="H82" s="73"/>
    </row>
    <row r="83" spans="1:8" ht="36">
      <c r="A83" s="79" t="s">
        <v>94</v>
      </c>
      <c r="B83" s="78">
        <v>82</v>
      </c>
      <c r="C83" s="80" t="s">
        <v>325</v>
      </c>
      <c r="D83" s="81">
        <v>8794</v>
      </c>
      <c r="E83" s="82">
        <v>5.9999999999999995E-4</v>
      </c>
      <c r="F83" s="82"/>
      <c r="G83" s="77"/>
      <c r="H83" s="78"/>
    </row>
    <row r="84" spans="1:8" ht="36">
      <c r="A84" s="74" t="s">
        <v>96</v>
      </c>
      <c r="B84" s="73">
        <v>83</v>
      </c>
      <c r="C84" s="75" t="s">
        <v>326</v>
      </c>
      <c r="D84" s="76">
        <v>29303</v>
      </c>
      <c r="E84" s="77">
        <v>5.9999999999999995E-4</v>
      </c>
      <c r="F84" s="77"/>
      <c r="G84" s="82"/>
      <c r="H84" s="73"/>
    </row>
    <row r="85" spans="1:8" ht="36">
      <c r="A85" s="79" t="s">
        <v>167</v>
      </c>
      <c r="B85" s="78">
        <v>84</v>
      </c>
      <c r="C85" s="80" t="s">
        <v>327</v>
      </c>
      <c r="D85" s="81">
        <v>1096</v>
      </c>
      <c r="E85" s="82">
        <v>5.9999999999999995E-4</v>
      </c>
      <c r="F85" s="82"/>
      <c r="G85" s="77"/>
      <c r="H85" s="78"/>
    </row>
    <row r="86" spans="1:8" ht="36">
      <c r="A86" s="74" t="s">
        <v>132</v>
      </c>
      <c r="B86" s="73">
        <v>85</v>
      </c>
      <c r="C86" s="75" t="s">
        <v>328</v>
      </c>
      <c r="D86" s="76">
        <v>586</v>
      </c>
      <c r="E86" s="77">
        <v>5.9999999999999995E-4</v>
      </c>
      <c r="F86" s="77"/>
      <c r="G86" s="82"/>
      <c r="H86" s="73"/>
    </row>
    <row r="87" spans="1:8" ht="36">
      <c r="A87" s="79" t="s">
        <v>188</v>
      </c>
      <c r="B87" s="78">
        <v>86</v>
      </c>
      <c r="C87" s="80" t="s">
        <v>329</v>
      </c>
      <c r="D87" s="81">
        <v>1102</v>
      </c>
      <c r="E87" s="82">
        <v>5.0000000000000001E-4</v>
      </c>
      <c r="F87" s="82"/>
      <c r="G87" s="77"/>
      <c r="H87" s="78"/>
    </row>
    <row r="88" spans="1:8" ht="36">
      <c r="A88" s="74" t="s">
        <v>76</v>
      </c>
      <c r="B88" s="73">
        <v>87</v>
      </c>
      <c r="C88" s="75" t="s">
        <v>330</v>
      </c>
      <c r="D88" s="76">
        <v>4205</v>
      </c>
      <c r="E88" s="77">
        <v>5.0000000000000001E-4</v>
      </c>
      <c r="F88" s="77"/>
      <c r="G88" s="82"/>
      <c r="H88" s="73"/>
    </row>
    <row r="89" spans="1:8" ht="36">
      <c r="A89" s="79" t="s">
        <v>101</v>
      </c>
      <c r="B89" s="78">
        <v>88</v>
      </c>
      <c r="C89" s="80" t="s">
        <v>331</v>
      </c>
      <c r="D89" s="81">
        <v>3777</v>
      </c>
      <c r="E89" s="82">
        <v>5.0000000000000001E-4</v>
      </c>
      <c r="F89" s="82"/>
      <c r="G89" s="77"/>
      <c r="H89" s="78"/>
    </row>
    <row r="90" spans="1:8" ht="36">
      <c r="A90" s="74" t="s">
        <v>154</v>
      </c>
      <c r="B90" s="73">
        <v>89</v>
      </c>
      <c r="C90" s="75" t="s">
        <v>332</v>
      </c>
      <c r="D90" s="76">
        <v>6716</v>
      </c>
      <c r="E90" s="77">
        <v>5.0000000000000001E-4</v>
      </c>
      <c r="F90" s="77"/>
      <c r="G90" s="82"/>
      <c r="H90" s="73"/>
    </row>
    <row r="91" spans="1:8" ht="36">
      <c r="A91" s="79" t="s">
        <v>199</v>
      </c>
      <c r="B91" s="78">
        <v>90</v>
      </c>
      <c r="C91" s="80" t="s">
        <v>333</v>
      </c>
      <c r="D91" s="81">
        <v>964</v>
      </c>
      <c r="E91" s="82">
        <v>5.0000000000000001E-4</v>
      </c>
      <c r="F91" s="82"/>
      <c r="G91" s="77"/>
      <c r="H91" s="78"/>
    </row>
    <row r="92" spans="1:8" ht="36">
      <c r="A92" s="74" t="s">
        <v>112</v>
      </c>
      <c r="B92" s="73">
        <v>91</v>
      </c>
      <c r="C92" s="75" t="s">
        <v>334</v>
      </c>
      <c r="D92" s="76">
        <v>30152</v>
      </c>
      <c r="E92" s="77">
        <v>4.0000000000000002E-4</v>
      </c>
      <c r="F92" s="77"/>
      <c r="G92" s="82"/>
      <c r="H92" s="73"/>
    </row>
    <row r="93" spans="1:8" ht="36">
      <c r="A93" s="79" t="s">
        <v>124</v>
      </c>
      <c r="B93" s="78">
        <v>92</v>
      </c>
      <c r="C93" s="80" t="s">
        <v>335</v>
      </c>
      <c r="D93" s="81">
        <v>1588</v>
      </c>
      <c r="E93" s="82">
        <v>4.0000000000000002E-4</v>
      </c>
      <c r="F93" s="82"/>
      <c r="G93" s="77"/>
      <c r="H93" s="78"/>
    </row>
    <row r="94" spans="1:8" ht="36">
      <c r="A94" s="74" t="s">
        <v>117</v>
      </c>
      <c r="B94" s="73">
        <v>93</v>
      </c>
      <c r="C94" s="75" t="s">
        <v>336</v>
      </c>
      <c r="D94" s="76">
        <v>3523</v>
      </c>
      <c r="E94" s="77">
        <v>4.0000000000000002E-4</v>
      </c>
      <c r="F94" s="77"/>
      <c r="G94" s="82"/>
      <c r="H94" s="73"/>
    </row>
    <row r="95" spans="1:8" ht="36">
      <c r="A95" s="79" t="s">
        <v>174</v>
      </c>
      <c r="B95" s="78">
        <v>94</v>
      </c>
      <c r="C95" s="80" t="s">
        <v>337</v>
      </c>
      <c r="D95" s="81">
        <v>6153</v>
      </c>
      <c r="E95" s="82">
        <v>4.0000000000000002E-4</v>
      </c>
      <c r="F95" s="82"/>
      <c r="G95" s="77"/>
      <c r="H95" s="78"/>
    </row>
    <row r="96" spans="1:8" ht="36">
      <c r="A96" s="74" t="s">
        <v>80</v>
      </c>
      <c r="B96" s="73">
        <v>95</v>
      </c>
      <c r="C96" s="75" t="s">
        <v>338</v>
      </c>
      <c r="D96" s="76">
        <v>22238</v>
      </c>
      <c r="E96" s="77">
        <v>4.0000000000000002E-4</v>
      </c>
      <c r="F96" s="77"/>
      <c r="G96" s="82"/>
      <c r="H96" s="73"/>
    </row>
    <row r="97" spans="1:8" ht="36">
      <c r="A97" s="79" t="s">
        <v>85</v>
      </c>
      <c r="B97" s="78">
        <v>96</v>
      </c>
      <c r="C97" s="80" t="s">
        <v>339</v>
      </c>
      <c r="D97" s="81">
        <v>1337</v>
      </c>
      <c r="E97" s="82">
        <v>4.0000000000000002E-4</v>
      </c>
      <c r="F97" s="82"/>
      <c r="G97" s="77"/>
      <c r="H97" s="78"/>
    </row>
    <row r="98" spans="1:8" ht="36">
      <c r="A98" s="74" t="s">
        <v>69</v>
      </c>
      <c r="B98" s="73">
        <v>97</v>
      </c>
      <c r="C98" s="75" t="s">
        <v>340</v>
      </c>
      <c r="D98" s="76">
        <v>28732</v>
      </c>
      <c r="E98" s="77">
        <v>4.0000000000000002E-4</v>
      </c>
      <c r="F98" s="77"/>
      <c r="G98" s="82"/>
      <c r="H98" s="73"/>
    </row>
    <row r="99" spans="1:8" ht="36">
      <c r="A99" s="79" t="s">
        <v>133</v>
      </c>
      <c r="B99" s="78">
        <v>98</v>
      </c>
      <c r="C99" s="80" t="s">
        <v>341</v>
      </c>
      <c r="D99" s="81">
        <v>5127</v>
      </c>
      <c r="E99" s="82">
        <v>2.9999999999999997E-4</v>
      </c>
      <c r="F99" s="82"/>
      <c r="G99" s="77"/>
      <c r="H99" s="78"/>
    </row>
    <row r="100" spans="1:8" ht="36">
      <c r="A100" s="74" t="s">
        <v>147</v>
      </c>
      <c r="B100" s="73">
        <v>99</v>
      </c>
      <c r="C100" s="75" t="s">
        <v>342</v>
      </c>
      <c r="D100" s="76">
        <v>3040</v>
      </c>
      <c r="E100" s="77">
        <v>2.9999999999999997E-4</v>
      </c>
      <c r="F100" s="77"/>
      <c r="G100" s="82"/>
      <c r="H100" s="73"/>
    </row>
    <row r="101" spans="1:8" ht="43.5">
      <c r="A101" s="79" t="s">
        <v>173</v>
      </c>
      <c r="B101" s="78">
        <v>100</v>
      </c>
      <c r="C101" s="80" t="s">
        <v>343</v>
      </c>
      <c r="D101" s="81">
        <v>3020</v>
      </c>
      <c r="E101" s="82">
        <v>2.9999999999999997E-4</v>
      </c>
      <c r="F101" s="82"/>
      <c r="G101" s="77"/>
      <c r="H101" s="78"/>
    </row>
    <row r="102" spans="1:8" ht="36">
      <c r="A102" s="74" t="s">
        <v>123</v>
      </c>
      <c r="B102" s="73">
        <v>101</v>
      </c>
      <c r="C102" s="75" t="s">
        <v>344</v>
      </c>
      <c r="D102" s="76">
        <v>1787</v>
      </c>
      <c r="E102" s="77">
        <v>2.9999999999999997E-4</v>
      </c>
      <c r="F102" s="77"/>
      <c r="G102" s="82"/>
      <c r="H102" s="73"/>
    </row>
    <row r="103" spans="1:8" ht="36">
      <c r="A103" s="79" t="s">
        <v>203</v>
      </c>
      <c r="B103" s="78">
        <v>102</v>
      </c>
      <c r="C103" s="80" t="s">
        <v>345</v>
      </c>
      <c r="D103" s="81">
        <v>1488</v>
      </c>
      <c r="E103" s="82">
        <v>2.9999999999999997E-4</v>
      </c>
      <c r="F103" s="82"/>
      <c r="G103" s="77"/>
      <c r="H103" s="78"/>
    </row>
    <row r="104" spans="1:8" ht="36">
      <c r="A104" s="74" t="s">
        <v>64</v>
      </c>
      <c r="B104" s="73">
        <v>103</v>
      </c>
      <c r="C104" s="75" t="s">
        <v>346</v>
      </c>
      <c r="D104" s="76">
        <v>22724</v>
      </c>
      <c r="E104" s="77">
        <v>2.9999999999999997E-4</v>
      </c>
      <c r="F104" s="77"/>
      <c r="G104" s="82"/>
      <c r="H104" s="73"/>
    </row>
    <row r="105" spans="1:8" ht="43.5">
      <c r="A105" s="79" t="s">
        <v>196</v>
      </c>
      <c r="B105" s="78">
        <v>104</v>
      </c>
      <c r="C105" s="80" t="s">
        <v>347</v>
      </c>
      <c r="D105" s="81">
        <v>18222</v>
      </c>
      <c r="E105" s="82">
        <v>2.9999999999999997E-4</v>
      </c>
      <c r="F105" s="82"/>
      <c r="G105" s="77"/>
      <c r="H105" s="78"/>
    </row>
    <row r="106" spans="1:8" ht="36">
      <c r="A106" s="74" t="s">
        <v>20</v>
      </c>
      <c r="B106" s="73">
        <v>105</v>
      </c>
      <c r="C106" s="75" t="s">
        <v>348</v>
      </c>
      <c r="D106" s="76">
        <v>74663</v>
      </c>
      <c r="E106" s="77">
        <v>2.9999999999999997E-4</v>
      </c>
      <c r="F106" s="77"/>
      <c r="G106" s="82"/>
      <c r="H106" s="73"/>
    </row>
    <row r="107" spans="1:8" ht="36">
      <c r="A107" s="79" t="s">
        <v>183</v>
      </c>
      <c r="B107" s="78">
        <v>106</v>
      </c>
      <c r="C107" s="80" t="s">
        <v>349</v>
      </c>
      <c r="D107" s="81">
        <v>1599</v>
      </c>
      <c r="E107" s="82">
        <v>2.9999999999999997E-4</v>
      </c>
      <c r="F107" s="82"/>
      <c r="G107" s="77"/>
      <c r="H107" s="78"/>
    </row>
    <row r="108" spans="1:8" ht="36">
      <c r="A108" s="74" t="s">
        <v>70</v>
      </c>
      <c r="B108" s="73">
        <v>107</v>
      </c>
      <c r="C108" s="75" t="s">
        <v>350</v>
      </c>
      <c r="D108" s="76">
        <v>6571</v>
      </c>
      <c r="E108" s="77">
        <v>2.0000000000000001E-4</v>
      </c>
      <c r="F108" s="77"/>
      <c r="G108" s="82"/>
      <c r="H108" s="73"/>
    </row>
    <row r="109" spans="1:8" ht="57.75">
      <c r="A109" s="79" t="s">
        <v>118</v>
      </c>
      <c r="B109" s="78">
        <v>108</v>
      </c>
      <c r="C109" s="80" t="s">
        <v>351</v>
      </c>
      <c r="D109" s="81">
        <v>7585</v>
      </c>
      <c r="E109" s="82">
        <v>2.0000000000000001E-4</v>
      </c>
      <c r="F109" s="82"/>
      <c r="G109" s="77"/>
      <c r="H109" s="78"/>
    </row>
    <row r="110" spans="1:8" ht="36">
      <c r="A110" s="74" t="s">
        <v>226</v>
      </c>
      <c r="B110" s="73">
        <v>109</v>
      </c>
      <c r="C110" s="75" t="s">
        <v>352</v>
      </c>
      <c r="D110" s="76">
        <v>31618</v>
      </c>
      <c r="E110" s="77">
        <v>2.0000000000000001E-4</v>
      </c>
      <c r="F110" s="77"/>
      <c r="G110" s="82"/>
      <c r="H110" s="73"/>
    </row>
    <row r="111" spans="1:8" ht="36">
      <c r="A111" s="79" t="s">
        <v>143</v>
      </c>
      <c r="B111" s="78">
        <v>110</v>
      </c>
      <c r="C111" s="80" t="s">
        <v>353</v>
      </c>
      <c r="D111" s="81">
        <v>1532</v>
      </c>
      <c r="E111" s="82">
        <v>2.0000000000000001E-4</v>
      </c>
      <c r="F111" s="82"/>
      <c r="G111" s="77"/>
      <c r="H111" s="78"/>
    </row>
    <row r="112" spans="1:8" ht="36">
      <c r="A112" s="74" t="s">
        <v>139</v>
      </c>
      <c r="B112" s="73">
        <v>111</v>
      </c>
      <c r="C112" s="75" t="s">
        <v>354</v>
      </c>
      <c r="D112" s="76">
        <v>8820</v>
      </c>
      <c r="E112" s="77">
        <v>2.0000000000000001E-4</v>
      </c>
      <c r="F112" s="77"/>
      <c r="G112" s="82"/>
      <c r="H112" s="73"/>
    </row>
    <row r="113" spans="1:8" ht="36">
      <c r="A113" s="79" t="s">
        <v>204</v>
      </c>
      <c r="B113" s="78">
        <v>112</v>
      </c>
      <c r="C113" s="80" t="s">
        <v>355</v>
      </c>
      <c r="D113" s="81">
        <v>1267</v>
      </c>
      <c r="E113" s="82">
        <v>2.0000000000000001E-4</v>
      </c>
      <c r="F113" s="82"/>
      <c r="G113" s="77"/>
      <c r="H113" s="78"/>
    </row>
    <row r="114" spans="1:8" ht="36">
      <c r="A114" s="74" t="s">
        <v>119</v>
      </c>
      <c r="B114" s="73">
        <v>113</v>
      </c>
      <c r="C114" s="75" t="s">
        <v>356</v>
      </c>
      <c r="D114" s="76">
        <v>7738</v>
      </c>
      <c r="E114" s="77">
        <v>2.0000000000000001E-4</v>
      </c>
      <c r="F114" s="77"/>
      <c r="G114" s="82"/>
      <c r="H114" s="73"/>
    </row>
    <row r="115" spans="1:8" ht="36">
      <c r="A115" s="79" t="s">
        <v>146</v>
      </c>
      <c r="B115" s="78">
        <v>114</v>
      </c>
      <c r="C115" s="80" t="s">
        <v>357</v>
      </c>
      <c r="D115" s="81">
        <v>1748</v>
      </c>
      <c r="E115" s="82">
        <v>2.0000000000000001E-4</v>
      </c>
      <c r="F115" s="82"/>
      <c r="G115" s="77"/>
      <c r="H115" s="78"/>
    </row>
    <row r="116" spans="1:8" ht="36">
      <c r="A116" s="74" t="s">
        <v>110</v>
      </c>
      <c r="B116" s="73">
        <v>115</v>
      </c>
      <c r="C116" s="75" t="s">
        <v>358</v>
      </c>
      <c r="D116" s="76">
        <v>7014</v>
      </c>
      <c r="E116" s="77">
        <v>2.0000000000000001E-4</v>
      </c>
      <c r="F116" s="77"/>
      <c r="G116" s="82"/>
      <c r="H116" s="73"/>
    </row>
    <row r="117" spans="1:8" ht="36">
      <c r="A117" s="79" t="s">
        <v>359</v>
      </c>
      <c r="B117" s="78">
        <v>116</v>
      </c>
      <c r="C117" s="80" t="s">
        <v>360</v>
      </c>
      <c r="D117" s="81">
        <v>3640</v>
      </c>
      <c r="E117" s="82">
        <v>2.0000000000000001E-4</v>
      </c>
      <c r="F117" s="82"/>
      <c r="G117" s="77"/>
      <c r="H117" s="78"/>
    </row>
    <row r="118" spans="1:8" ht="36">
      <c r="A118" s="74" t="s">
        <v>121</v>
      </c>
      <c r="B118" s="73">
        <v>117</v>
      </c>
      <c r="C118" s="75" t="s">
        <v>361</v>
      </c>
      <c r="D118" s="76">
        <v>833</v>
      </c>
      <c r="E118" s="77">
        <v>2.0000000000000001E-4</v>
      </c>
      <c r="F118" s="77"/>
      <c r="G118" s="82"/>
      <c r="H118" s="73"/>
    </row>
    <row r="119" spans="1:8" ht="36">
      <c r="A119" s="79" t="s">
        <v>55</v>
      </c>
      <c r="B119" s="78">
        <v>118</v>
      </c>
      <c r="C119" s="80" t="s">
        <v>361</v>
      </c>
      <c r="D119" s="81">
        <v>6643</v>
      </c>
      <c r="E119" s="82">
        <v>2.0000000000000001E-4</v>
      </c>
      <c r="F119" s="82"/>
      <c r="G119" s="77"/>
      <c r="H119" s="78"/>
    </row>
    <row r="120" spans="1:8" ht="36">
      <c r="A120" s="74" t="s">
        <v>159</v>
      </c>
      <c r="B120" s="73">
        <v>119</v>
      </c>
      <c r="C120" s="75" t="s">
        <v>362</v>
      </c>
      <c r="D120" s="76">
        <v>833</v>
      </c>
      <c r="E120" s="77">
        <v>2.0000000000000001E-4</v>
      </c>
      <c r="F120" s="77"/>
      <c r="G120" s="82"/>
      <c r="H120" s="73"/>
    </row>
    <row r="121" spans="1:8" ht="36">
      <c r="A121" s="79" t="s">
        <v>166</v>
      </c>
      <c r="B121" s="78">
        <v>120</v>
      </c>
      <c r="C121" s="80" t="s">
        <v>363</v>
      </c>
      <c r="D121" s="81">
        <v>541</v>
      </c>
      <c r="E121" s="82">
        <v>2.0000000000000001E-4</v>
      </c>
      <c r="F121" s="82"/>
      <c r="G121" s="77"/>
      <c r="H121" s="78"/>
    </row>
    <row r="122" spans="1:8" ht="36">
      <c r="A122" s="74" t="s">
        <v>83</v>
      </c>
      <c r="B122" s="73">
        <v>121</v>
      </c>
      <c r="C122" s="75" t="s">
        <v>364</v>
      </c>
      <c r="D122" s="76">
        <v>33313</v>
      </c>
      <c r="E122" s="77">
        <v>2.0000000000000001E-4</v>
      </c>
      <c r="F122" s="77"/>
      <c r="G122" s="82"/>
      <c r="H122" s="73"/>
    </row>
    <row r="123" spans="1:8" ht="36">
      <c r="A123" s="79" t="s">
        <v>115</v>
      </c>
      <c r="B123" s="78">
        <v>122</v>
      </c>
      <c r="C123" s="80" t="s">
        <v>365</v>
      </c>
      <c r="D123" s="81">
        <v>1303</v>
      </c>
      <c r="E123" s="82">
        <v>2.0000000000000001E-4</v>
      </c>
      <c r="F123" s="82"/>
      <c r="G123" s="77"/>
      <c r="H123" s="78"/>
    </row>
    <row r="124" spans="1:8" ht="36">
      <c r="A124" s="74" t="s">
        <v>26</v>
      </c>
      <c r="B124" s="73">
        <v>123</v>
      </c>
      <c r="C124" s="75" t="s">
        <v>366</v>
      </c>
      <c r="D124" s="76">
        <v>6047</v>
      </c>
      <c r="E124" s="77">
        <v>2.0000000000000001E-4</v>
      </c>
      <c r="F124" s="77"/>
      <c r="G124" s="82"/>
      <c r="H124" s="73"/>
    </row>
    <row r="125" spans="1:8" ht="36">
      <c r="A125" s="79" t="s">
        <v>164</v>
      </c>
      <c r="B125" s="78">
        <v>124</v>
      </c>
      <c r="C125" s="80" t="s">
        <v>367</v>
      </c>
      <c r="D125" s="81">
        <v>4947</v>
      </c>
      <c r="E125" s="82">
        <v>2.0000000000000001E-4</v>
      </c>
      <c r="F125" s="82"/>
      <c r="G125" s="77"/>
      <c r="H125" s="78"/>
    </row>
    <row r="126" spans="1:8" ht="36">
      <c r="A126" s="74" t="s">
        <v>120</v>
      </c>
      <c r="B126" s="73">
        <v>125</v>
      </c>
      <c r="C126" s="75" t="s">
        <v>368</v>
      </c>
      <c r="D126" s="76">
        <v>37152</v>
      </c>
      <c r="E126" s="77">
        <v>2.0000000000000001E-4</v>
      </c>
      <c r="F126" s="77"/>
      <c r="G126" s="82"/>
      <c r="H126" s="73"/>
    </row>
    <row r="127" spans="1:8" ht="36">
      <c r="A127" s="79" t="s">
        <v>151</v>
      </c>
      <c r="B127" s="78">
        <v>126</v>
      </c>
      <c r="C127" s="80" t="s">
        <v>369</v>
      </c>
      <c r="D127" s="81">
        <v>2088</v>
      </c>
      <c r="E127" s="82">
        <v>2.0000000000000001E-4</v>
      </c>
      <c r="F127" s="82"/>
      <c r="G127" s="77"/>
      <c r="H127" s="78"/>
    </row>
    <row r="128" spans="1:8" ht="36">
      <c r="A128" s="74" t="s">
        <v>169</v>
      </c>
      <c r="B128" s="73">
        <v>127</v>
      </c>
      <c r="C128" s="75" t="s">
        <v>370</v>
      </c>
      <c r="D128" s="76">
        <v>2255</v>
      </c>
      <c r="E128" s="77">
        <v>2.0000000000000001E-4</v>
      </c>
      <c r="F128" s="77"/>
      <c r="G128" s="82"/>
      <c r="H128" s="73"/>
    </row>
    <row r="129" spans="1:8" ht="36">
      <c r="A129" s="79" t="s">
        <v>145</v>
      </c>
      <c r="B129" s="78">
        <v>128</v>
      </c>
      <c r="C129" s="80" t="s">
        <v>371</v>
      </c>
      <c r="D129" s="81">
        <v>18990</v>
      </c>
      <c r="E129" s="82">
        <v>2.0000000000000001E-4</v>
      </c>
      <c r="F129" s="82"/>
      <c r="G129" s="77"/>
      <c r="H129" s="78"/>
    </row>
    <row r="130" spans="1:8" ht="36">
      <c r="A130" s="74" t="s">
        <v>156</v>
      </c>
      <c r="B130" s="73">
        <v>129</v>
      </c>
      <c r="C130" s="75" t="s">
        <v>372</v>
      </c>
      <c r="D130" s="76">
        <v>505</v>
      </c>
      <c r="E130" s="77">
        <v>1E-4</v>
      </c>
      <c r="F130" s="77"/>
      <c r="G130" s="82"/>
      <c r="H130" s="73"/>
    </row>
    <row r="131" spans="1:8" ht="36">
      <c r="A131" s="79" t="s">
        <v>212</v>
      </c>
      <c r="B131" s="78">
        <v>130</v>
      </c>
      <c r="C131" s="80" t="s">
        <v>373</v>
      </c>
      <c r="D131" s="81">
        <v>2448</v>
      </c>
      <c r="E131" s="82">
        <v>1E-4</v>
      </c>
      <c r="F131" s="82"/>
      <c r="G131" s="77"/>
      <c r="H131" s="78"/>
    </row>
    <row r="132" spans="1:8" ht="36">
      <c r="A132" s="74" t="s">
        <v>163</v>
      </c>
      <c r="B132" s="73">
        <v>131</v>
      </c>
      <c r="C132" s="75" t="s">
        <v>374</v>
      </c>
      <c r="D132" s="76">
        <v>4406</v>
      </c>
      <c r="E132" s="77">
        <v>1E-4</v>
      </c>
      <c r="F132" s="77"/>
      <c r="G132" s="82"/>
      <c r="H132" s="73"/>
    </row>
    <row r="133" spans="1:8" ht="36">
      <c r="A133" s="79" t="s">
        <v>170</v>
      </c>
      <c r="B133" s="78">
        <v>132</v>
      </c>
      <c r="C133" s="80" t="s">
        <v>375</v>
      </c>
      <c r="D133" s="81">
        <v>533</v>
      </c>
      <c r="E133" s="82">
        <v>1E-4</v>
      </c>
      <c r="F133" s="82"/>
      <c r="G133" s="77"/>
      <c r="H133" s="78"/>
    </row>
    <row r="134" spans="1:8" ht="43.5">
      <c r="A134" s="74" t="s">
        <v>86</v>
      </c>
      <c r="B134" s="73">
        <v>133</v>
      </c>
      <c r="C134" s="75" t="s">
        <v>376</v>
      </c>
      <c r="D134" s="76">
        <v>6478</v>
      </c>
      <c r="E134" s="77">
        <v>1E-4</v>
      </c>
      <c r="F134" s="77"/>
      <c r="G134" s="82"/>
      <c r="H134" s="73"/>
    </row>
    <row r="135" spans="1:8" ht="36">
      <c r="A135" s="79" t="s">
        <v>176</v>
      </c>
      <c r="B135" s="78">
        <v>134</v>
      </c>
      <c r="C135" s="80" t="s">
        <v>377</v>
      </c>
      <c r="D135" s="81">
        <v>966</v>
      </c>
      <c r="E135" s="82">
        <v>1E-4</v>
      </c>
      <c r="F135" s="82"/>
      <c r="G135" s="77"/>
      <c r="H135" s="78"/>
    </row>
    <row r="136" spans="1:8" ht="36">
      <c r="A136" s="74" t="s">
        <v>157</v>
      </c>
      <c r="B136" s="73">
        <v>135</v>
      </c>
      <c r="C136" s="75" t="s">
        <v>378</v>
      </c>
      <c r="D136" s="76">
        <v>645</v>
      </c>
      <c r="E136" s="77">
        <v>1E-4</v>
      </c>
      <c r="F136" s="77"/>
      <c r="G136" s="82"/>
      <c r="H136" s="73"/>
    </row>
    <row r="137" spans="1:8" ht="36">
      <c r="A137" s="79" t="s">
        <v>162</v>
      </c>
      <c r="B137" s="78">
        <v>136</v>
      </c>
      <c r="C137" s="80" t="s">
        <v>379</v>
      </c>
      <c r="D137" s="81">
        <v>9926</v>
      </c>
      <c r="E137" s="82">
        <v>1E-4</v>
      </c>
      <c r="F137" s="82"/>
      <c r="G137" s="77"/>
      <c r="H137" s="78"/>
    </row>
    <row r="138" spans="1:8" ht="36">
      <c r="A138" s="74" t="s">
        <v>111</v>
      </c>
      <c r="B138" s="73">
        <v>137</v>
      </c>
      <c r="C138" s="75" t="s">
        <v>379</v>
      </c>
      <c r="D138" s="76">
        <v>31458</v>
      </c>
      <c r="E138" s="77">
        <v>1E-4</v>
      </c>
      <c r="F138" s="77"/>
      <c r="G138" s="82"/>
      <c r="H138" s="73"/>
    </row>
    <row r="139" spans="1:8" ht="36">
      <c r="A139" s="79" t="s">
        <v>127</v>
      </c>
      <c r="B139" s="78">
        <v>138</v>
      </c>
      <c r="C139" s="80" t="s">
        <v>380</v>
      </c>
      <c r="D139" s="81">
        <v>717</v>
      </c>
      <c r="E139" s="82">
        <v>1E-4</v>
      </c>
      <c r="F139" s="82"/>
      <c r="G139" s="77"/>
      <c r="H139" s="78"/>
    </row>
    <row r="140" spans="1:8" ht="36">
      <c r="A140" s="74" t="s">
        <v>168</v>
      </c>
      <c r="B140" s="73">
        <v>139</v>
      </c>
      <c r="C140" s="75" t="s">
        <v>381</v>
      </c>
      <c r="D140" s="76">
        <v>4911</v>
      </c>
      <c r="E140" s="77">
        <v>1E-4</v>
      </c>
      <c r="F140" s="77"/>
      <c r="G140" s="82"/>
      <c r="H140" s="73"/>
    </row>
    <row r="141" spans="1:8" ht="36">
      <c r="A141" s="79" t="s">
        <v>134</v>
      </c>
      <c r="B141" s="78">
        <v>140</v>
      </c>
      <c r="C141" s="80" t="s">
        <v>382</v>
      </c>
      <c r="D141" s="81">
        <v>7053</v>
      </c>
      <c r="E141" s="82">
        <v>1E-4</v>
      </c>
      <c r="F141" s="82"/>
      <c r="G141" s="77"/>
      <c r="H141" s="78"/>
    </row>
    <row r="142" spans="1:8" ht="36">
      <c r="A142" s="74" t="s">
        <v>150</v>
      </c>
      <c r="B142" s="73">
        <v>141</v>
      </c>
      <c r="C142" s="75" t="s">
        <v>383</v>
      </c>
      <c r="D142" s="76">
        <v>1649</v>
      </c>
      <c r="E142" s="77">
        <v>1E-4</v>
      </c>
      <c r="F142" s="77"/>
      <c r="G142" s="82"/>
      <c r="H142" s="73"/>
    </row>
    <row r="143" spans="1:8" ht="36">
      <c r="A143" s="79" t="s">
        <v>191</v>
      </c>
      <c r="B143" s="78">
        <v>142</v>
      </c>
      <c r="C143" s="80" t="s">
        <v>384</v>
      </c>
      <c r="D143" s="81">
        <v>1054</v>
      </c>
      <c r="E143" s="82">
        <v>1E-4</v>
      </c>
      <c r="F143" s="82"/>
      <c r="G143" s="77"/>
      <c r="H143" s="78"/>
    </row>
    <row r="144" spans="1:8" ht="36">
      <c r="A144" s="74" t="s">
        <v>161</v>
      </c>
      <c r="B144" s="73">
        <v>143</v>
      </c>
      <c r="C144" s="75" t="s">
        <v>385</v>
      </c>
      <c r="D144" s="76">
        <v>2191</v>
      </c>
      <c r="E144" s="77">
        <v>1E-4</v>
      </c>
      <c r="F144" s="77"/>
      <c r="G144" s="82"/>
      <c r="H144" s="73"/>
    </row>
    <row r="145" spans="1:8" ht="36">
      <c r="A145" s="79" t="s">
        <v>194</v>
      </c>
      <c r="B145" s="78">
        <v>144</v>
      </c>
      <c r="C145" s="80" t="s">
        <v>386</v>
      </c>
      <c r="D145" s="81">
        <v>918</v>
      </c>
      <c r="E145" s="82">
        <v>1E-4</v>
      </c>
      <c r="F145" s="82"/>
      <c r="G145" s="77"/>
      <c r="H145" s="78"/>
    </row>
    <row r="146" spans="1:8" ht="36">
      <c r="A146" s="74" t="s">
        <v>158</v>
      </c>
      <c r="B146" s="73">
        <v>145</v>
      </c>
      <c r="C146" s="75" t="s">
        <v>387</v>
      </c>
      <c r="D146" s="76">
        <v>11818</v>
      </c>
      <c r="E146" s="77">
        <v>1E-4</v>
      </c>
      <c r="F146" s="77"/>
      <c r="G146" s="82"/>
      <c r="H146" s="73"/>
    </row>
    <row r="147" spans="1:8" ht="36">
      <c r="A147" s="79" t="s">
        <v>165</v>
      </c>
      <c r="B147" s="78">
        <v>146</v>
      </c>
      <c r="C147" s="80" t="s">
        <v>388</v>
      </c>
      <c r="D147" s="81">
        <v>9721</v>
      </c>
      <c r="E147" s="82">
        <v>1E-4</v>
      </c>
      <c r="F147" s="82"/>
      <c r="G147" s="77"/>
      <c r="H147" s="78"/>
    </row>
    <row r="148" spans="1:8" ht="36">
      <c r="A148" s="74" t="s">
        <v>113</v>
      </c>
      <c r="B148" s="73">
        <v>147</v>
      </c>
      <c r="C148" s="75" t="s">
        <v>389</v>
      </c>
      <c r="D148" s="76">
        <v>20019</v>
      </c>
      <c r="E148" s="77">
        <v>1E-4</v>
      </c>
      <c r="F148" s="77"/>
      <c r="G148" s="82"/>
      <c r="H148" s="73"/>
    </row>
    <row r="149" spans="1:8" ht="36">
      <c r="A149" s="79" t="s">
        <v>138</v>
      </c>
      <c r="B149" s="78">
        <v>148</v>
      </c>
      <c r="C149" s="80" t="s">
        <v>390</v>
      </c>
      <c r="D149" s="81">
        <v>5317</v>
      </c>
      <c r="E149" s="82">
        <v>0</v>
      </c>
      <c r="F149" s="82"/>
      <c r="G149" s="77"/>
      <c r="H149" s="78"/>
    </row>
    <row r="150" spans="1:8" ht="36">
      <c r="A150" s="74" t="s">
        <v>136</v>
      </c>
      <c r="B150" s="73">
        <v>149</v>
      </c>
      <c r="C150" s="75" t="s">
        <v>391</v>
      </c>
      <c r="D150" s="76">
        <v>4040</v>
      </c>
      <c r="E150" s="77">
        <v>0</v>
      </c>
      <c r="F150" s="77"/>
      <c r="G150" s="82"/>
      <c r="H150" s="73"/>
    </row>
    <row r="151" spans="1:8" ht="36">
      <c r="A151" s="79" t="s">
        <v>153</v>
      </c>
      <c r="B151" s="78">
        <v>150</v>
      </c>
      <c r="C151" s="80" t="s">
        <v>392</v>
      </c>
      <c r="D151" s="81">
        <v>755</v>
      </c>
      <c r="E151" s="82">
        <v>0</v>
      </c>
      <c r="F151" s="82"/>
      <c r="G151" s="77"/>
      <c r="H151" s="78"/>
    </row>
    <row r="152" spans="1:8" ht="36">
      <c r="A152" s="74" t="s">
        <v>185</v>
      </c>
      <c r="B152" s="73">
        <v>151</v>
      </c>
      <c r="C152" s="75" t="s">
        <v>393</v>
      </c>
      <c r="D152" s="76">
        <v>461</v>
      </c>
      <c r="E152" s="77">
        <v>0</v>
      </c>
      <c r="F152" s="77"/>
      <c r="G152" s="82"/>
      <c r="H152" s="73"/>
    </row>
    <row r="153" spans="1:8" ht="36">
      <c r="A153" s="79" t="s">
        <v>189</v>
      </c>
      <c r="B153" s="78">
        <v>152</v>
      </c>
      <c r="C153" s="80" t="s">
        <v>394</v>
      </c>
      <c r="D153" s="81">
        <v>5858</v>
      </c>
      <c r="E153" s="82">
        <v>0</v>
      </c>
      <c r="F153" s="82"/>
      <c r="G153" s="77"/>
      <c r="H153" s="78"/>
    </row>
    <row r="154" spans="1:8" ht="36">
      <c r="A154" s="74" t="s">
        <v>107</v>
      </c>
      <c r="B154" s="73">
        <v>153</v>
      </c>
      <c r="C154" s="75" t="s">
        <v>395</v>
      </c>
      <c r="D154" s="76">
        <v>41993</v>
      </c>
      <c r="E154" s="77">
        <v>0</v>
      </c>
      <c r="F154" s="77"/>
      <c r="G154" s="82"/>
      <c r="H154" s="73"/>
    </row>
    <row r="155" spans="1:8" ht="36">
      <c r="A155" s="79" t="s">
        <v>238</v>
      </c>
      <c r="B155" s="78">
        <v>154</v>
      </c>
      <c r="C155" s="80" t="s">
        <v>396</v>
      </c>
      <c r="D155" s="81">
        <v>2358</v>
      </c>
      <c r="E155" s="82">
        <v>0</v>
      </c>
      <c r="F155" s="82"/>
      <c r="G155" s="77"/>
      <c r="H155" s="78"/>
    </row>
    <row r="156" spans="1:8" ht="36">
      <c r="A156" s="74" t="s">
        <v>122</v>
      </c>
      <c r="B156" s="73">
        <v>155</v>
      </c>
      <c r="C156" s="75" t="s">
        <v>397</v>
      </c>
      <c r="D156" s="76">
        <v>238</v>
      </c>
      <c r="E156" s="77">
        <v>0</v>
      </c>
      <c r="F156" s="77"/>
      <c r="G156" s="82"/>
      <c r="H156" s="73"/>
    </row>
    <row r="157" spans="1:8" ht="36">
      <c r="A157" s="79" t="s">
        <v>114</v>
      </c>
      <c r="B157" s="78">
        <v>156</v>
      </c>
      <c r="C157" s="80" t="s">
        <v>398</v>
      </c>
      <c r="D157" s="81">
        <v>6968</v>
      </c>
      <c r="E157" s="82">
        <v>0</v>
      </c>
      <c r="F157" s="82"/>
      <c r="G157" s="77"/>
      <c r="H157" s="78"/>
    </row>
    <row r="158" spans="1:8" ht="36">
      <c r="A158" s="74" t="s">
        <v>152</v>
      </c>
      <c r="B158" s="73">
        <v>157</v>
      </c>
      <c r="C158" s="75" t="s">
        <v>399</v>
      </c>
      <c r="D158" s="76">
        <v>1107</v>
      </c>
      <c r="E158" s="77">
        <v>0</v>
      </c>
      <c r="F158" s="77"/>
      <c r="G158" s="82"/>
      <c r="H158" s="73"/>
    </row>
    <row r="159" spans="1:8" ht="43.5">
      <c r="A159" s="79" t="s">
        <v>126</v>
      </c>
      <c r="B159" s="78">
        <v>158</v>
      </c>
      <c r="C159" s="80" t="s">
        <v>400</v>
      </c>
      <c r="D159" s="81">
        <v>427</v>
      </c>
      <c r="E159" s="82">
        <v>0</v>
      </c>
      <c r="F159" s="82"/>
      <c r="G159" s="77"/>
      <c r="H159" s="78"/>
    </row>
    <row r="160" spans="1:8" ht="36">
      <c r="A160" s="74" t="s">
        <v>401</v>
      </c>
      <c r="B160" s="73">
        <v>159</v>
      </c>
      <c r="C160" s="75" t="s">
        <v>402</v>
      </c>
      <c r="D160" s="76">
        <v>3903</v>
      </c>
      <c r="E160" s="77">
        <v>0</v>
      </c>
      <c r="F160" s="77"/>
      <c r="G160" s="82"/>
      <c r="H160" s="73"/>
    </row>
    <row r="161" spans="1:8" ht="36">
      <c r="A161" s="79" t="s">
        <v>140</v>
      </c>
      <c r="B161" s="78">
        <v>160</v>
      </c>
      <c r="C161" s="80" t="s">
        <v>403</v>
      </c>
      <c r="D161" s="81">
        <v>840</v>
      </c>
      <c r="E161" s="82">
        <v>0</v>
      </c>
      <c r="F161" s="82"/>
      <c r="G161" s="77"/>
      <c r="H161" s="78"/>
    </row>
    <row r="162" spans="1:8" ht="36">
      <c r="A162" s="74" t="s">
        <v>178</v>
      </c>
      <c r="B162" s="73">
        <v>161</v>
      </c>
      <c r="C162" s="75" t="s">
        <v>404</v>
      </c>
      <c r="D162" s="76">
        <v>11481</v>
      </c>
      <c r="E162" s="77">
        <v>0</v>
      </c>
      <c r="F162" s="77"/>
      <c r="G162" s="82"/>
      <c r="H162" s="73"/>
    </row>
    <row r="163" spans="1:8" ht="43.5">
      <c r="A163" s="79" t="s">
        <v>109</v>
      </c>
      <c r="B163" s="78">
        <v>162</v>
      </c>
      <c r="C163" s="80" t="s">
        <v>405</v>
      </c>
      <c r="D163" s="81">
        <v>18745</v>
      </c>
      <c r="E163" s="82">
        <v>0</v>
      </c>
      <c r="F163" s="82"/>
      <c r="G163" s="77"/>
      <c r="H163" s="78"/>
    </row>
    <row r="164" spans="1:8" ht="36">
      <c r="A164" s="74" t="s">
        <v>222</v>
      </c>
      <c r="B164" s="73">
        <v>163</v>
      </c>
      <c r="C164" s="75" t="s">
        <v>406</v>
      </c>
      <c r="D164" s="76">
        <v>776</v>
      </c>
      <c r="E164" s="77">
        <v>0</v>
      </c>
      <c r="F164" s="77"/>
      <c r="G164" s="82"/>
      <c r="H164" s="73"/>
    </row>
    <row r="165" spans="1:8" ht="36">
      <c r="A165" s="79" t="s">
        <v>186</v>
      </c>
      <c r="B165" s="78">
        <v>164</v>
      </c>
      <c r="C165" s="80" t="s">
        <v>407</v>
      </c>
      <c r="D165" s="81">
        <v>2203</v>
      </c>
      <c r="E165" s="82">
        <v>0</v>
      </c>
      <c r="F165" s="82"/>
      <c r="G165" s="77"/>
      <c r="H165" s="78"/>
    </row>
    <row r="166" spans="1:8" ht="36">
      <c r="A166" s="74" t="s">
        <v>184</v>
      </c>
      <c r="B166" s="73">
        <v>165</v>
      </c>
      <c r="C166" s="75" t="s">
        <v>408</v>
      </c>
      <c r="D166" s="76">
        <v>14829</v>
      </c>
      <c r="E166" s="77">
        <v>0</v>
      </c>
      <c r="F166" s="77"/>
      <c r="G166" s="82"/>
      <c r="H166" s="73"/>
    </row>
    <row r="167" spans="1:8" ht="36">
      <c r="A167" s="79" t="s">
        <v>142</v>
      </c>
      <c r="B167" s="78">
        <v>166</v>
      </c>
      <c r="C167" s="80" t="s">
        <v>409</v>
      </c>
      <c r="D167" s="81">
        <v>10016</v>
      </c>
      <c r="E167" s="82">
        <v>0</v>
      </c>
      <c r="F167" s="82"/>
      <c r="G167" s="77"/>
      <c r="H167" s="78"/>
    </row>
    <row r="168" spans="1:8" ht="36">
      <c r="A168" s="74" t="s">
        <v>128</v>
      </c>
      <c r="B168" s="73">
        <v>167</v>
      </c>
      <c r="C168" s="75" t="s">
        <v>410</v>
      </c>
      <c r="D168" s="76">
        <v>1485</v>
      </c>
      <c r="E168" s="77">
        <v>0</v>
      </c>
      <c r="F168" s="77"/>
      <c r="G168" s="82"/>
      <c r="H168" s="73"/>
    </row>
    <row r="169" spans="1:8" ht="36">
      <c r="A169" s="79" t="s">
        <v>201</v>
      </c>
      <c r="B169" s="78">
        <v>168</v>
      </c>
      <c r="C169" s="80" t="s">
        <v>411</v>
      </c>
      <c r="D169" s="81">
        <v>3010</v>
      </c>
      <c r="E169" s="82">
        <v>0</v>
      </c>
      <c r="F169" s="82"/>
      <c r="G169" s="77"/>
      <c r="H169" s="78"/>
    </row>
    <row r="170" spans="1:8" ht="43.5">
      <c r="A170" s="74" t="s">
        <v>412</v>
      </c>
      <c r="B170" s="73">
        <v>169</v>
      </c>
      <c r="C170" s="75" t="s">
        <v>413</v>
      </c>
      <c r="D170" s="76">
        <v>20177</v>
      </c>
      <c r="E170" s="77">
        <v>0</v>
      </c>
      <c r="F170" s="77"/>
      <c r="G170" s="82"/>
      <c r="H170" s="73"/>
    </row>
    <row r="171" spans="1:8" ht="57.75">
      <c r="A171" s="79" t="s">
        <v>414</v>
      </c>
      <c r="B171" s="78">
        <v>170</v>
      </c>
      <c r="C171" s="80" t="s">
        <v>415</v>
      </c>
      <c r="D171" s="81">
        <v>9125</v>
      </c>
      <c r="E171" s="82">
        <v>0</v>
      </c>
      <c r="F171" s="82"/>
      <c r="G171" s="77"/>
      <c r="H171" s="78"/>
    </row>
    <row r="172" spans="1:8" ht="36">
      <c r="A172" s="74" t="s">
        <v>180</v>
      </c>
      <c r="B172" s="73">
        <v>171</v>
      </c>
      <c r="C172" s="75" t="s">
        <v>416</v>
      </c>
      <c r="D172" s="76">
        <v>3743</v>
      </c>
      <c r="E172" s="77">
        <v>0</v>
      </c>
      <c r="F172" s="77"/>
      <c r="G172" s="82"/>
      <c r="H172" s="73"/>
    </row>
    <row r="173" spans="1:8" ht="36">
      <c r="A173" s="79" t="s">
        <v>131</v>
      </c>
      <c r="B173" s="78">
        <v>172</v>
      </c>
      <c r="C173" s="80" t="s">
        <v>417</v>
      </c>
      <c r="D173" s="81">
        <v>8415</v>
      </c>
      <c r="E173" s="82">
        <v>0</v>
      </c>
      <c r="F173" s="82"/>
      <c r="G173" s="77"/>
      <c r="H173" s="78"/>
    </row>
    <row r="174" spans="1:8" ht="43.5">
      <c r="A174" s="74" t="s">
        <v>418</v>
      </c>
      <c r="B174" s="73">
        <v>173</v>
      </c>
      <c r="C174" s="75" t="s">
        <v>419</v>
      </c>
      <c r="D174" s="76">
        <v>2404</v>
      </c>
      <c r="E174" s="77">
        <v>0</v>
      </c>
      <c r="F174" s="77"/>
      <c r="G174" s="82"/>
      <c r="H174" s="73"/>
    </row>
    <row r="175" spans="1:8" ht="36">
      <c r="A175" s="79" t="s">
        <v>420</v>
      </c>
      <c r="B175" s="78">
        <v>174</v>
      </c>
      <c r="C175" s="80" t="s">
        <v>421</v>
      </c>
      <c r="D175" s="81">
        <v>792</v>
      </c>
      <c r="E175" s="82">
        <v>0</v>
      </c>
      <c r="F175" s="82"/>
      <c r="G175" s="77"/>
      <c r="H175" s="78"/>
    </row>
    <row r="176" spans="1:8" ht="36">
      <c r="A176" s="74" t="s">
        <v>160</v>
      </c>
      <c r="B176" s="73">
        <v>175</v>
      </c>
      <c r="C176" s="75" t="s">
        <v>422</v>
      </c>
      <c r="D176" s="76">
        <v>6728</v>
      </c>
      <c r="E176" s="77">
        <v>0</v>
      </c>
      <c r="F176" s="77"/>
      <c r="G176" s="82"/>
      <c r="H176" s="73"/>
    </row>
    <row r="177" spans="1:8" ht="36">
      <c r="A177" s="79" t="s">
        <v>149</v>
      </c>
      <c r="B177" s="78">
        <v>176</v>
      </c>
      <c r="C177" s="80" t="s">
        <v>423</v>
      </c>
      <c r="D177" s="81">
        <v>1702</v>
      </c>
      <c r="E177" s="82">
        <v>0</v>
      </c>
      <c r="F177" s="82"/>
      <c r="G177" s="87"/>
      <c r="H177" s="78"/>
    </row>
    <row r="178" spans="1:8" ht="36">
      <c r="A178" s="84" t="s">
        <v>198</v>
      </c>
      <c r="B178" s="83">
        <v>177</v>
      </c>
      <c r="C178" s="85" t="s">
        <v>424</v>
      </c>
      <c r="D178" s="86">
        <v>5335</v>
      </c>
      <c r="E178" s="87">
        <v>0</v>
      </c>
      <c r="F178" s="87"/>
      <c r="H178" s="83"/>
    </row>
  </sheetData>
  <hyperlinks>
    <hyperlink ref="A1" r:id="rId1" xr:uid="{E7684C19-79BA-4D66-83A5-1331491DCF97}"/>
    <hyperlink ref="A2" r:id="rId2" xr:uid="{DB47B305-1CD1-4E3F-8765-BEE64FB6255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7D457-3A77-4A68-8391-358D66E3ACAE}">
  <dimension ref="A1:C83"/>
  <sheetViews>
    <sheetView workbookViewId="0">
      <selection activeCell="I11" sqref="I11"/>
    </sheetView>
  </sheetViews>
  <sheetFormatPr defaultRowHeight="15"/>
  <sheetData>
    <row r="1" spans="1:3" ht="30.75">
      <c r="A1" s="3" t="s">
        <v>244</v>
      </c>
      <c r="B1" s="3" t="s">
        <v>0</v>
      </c>
      <c r="C1" s="3" t="s">
        <v>425</v>
      </c>
    </row>
    <row r="2" spans="1:3">
      <c r="A2" s="4">
        <v>1</v>
      </c>
      <c r="B2" s="62" t="s">
        <v>13</v>
      </c>
      <c r="C2" s="4">
        <v>85.2</v>
      </c>
    </row>
    <row r="3" spans="1:3">
      <c r="A3" s="4">
        <v>2</v>
      </c>
      <c r="B3" s="62" t="s">
        <v>35</v>
      </c>
      <c r="C3" s="4">
        <v>83.6</v>
      </c>
    </row>
    <row r="4" spans="1:3">
      <c r="A4" s="4">
        <v>3</v>
      </c>
      <c r="B4" s="62" t="s">
        <v>15</v>
      </c>
      <c r="C4" s="4">
        <v>83.6</v>
      </c>
    </row>
    <row r="5" spans="1:3">
      <c r="A5" s="4">
        <v>4</v>
      </c>
      <c r="B5" s="62" t="s">
        <v>46</v>
      </c>
      <c r="C5" s="4">
        <v>83.5</v>
      </c>
    </row>
    <row r="6" spans="1:3">
      <c r="A6" s="4">
        <v>5</v>
      </c>
      <c r="B6" s="62" t="s">
        <v>20</v>
      </c>
      <c r="C6" s="4">
        <v>82.7</v>
      </c>
    </row>
    <row r="7" spans="1:3">
      <c r="A7" s="4">
        <v>6</v>
      </c>
      <c r="B7" s="62" t="s">
        <v>31</v>
      </c>
      <c r="C7" s="4">
        <v>82.4</v>
      </c>
    </row>
    <row r="8" spans="1:3">
      <c r="A8" s="4">
        <v>7</v>
      </c>
      <c r="B8" s="62" t="s">
        <v>47</v>
      </c>
      <c r="C8" s="4">
        <v>82.1</v>
      </c>
    </row>
    <row r="9" spans="1:3">
      <c r="A9" s="4">
        <v>8</v>
      </c>
      <c r="B9" s="62" t="s">
        <v>6</v>
      </c>
      <c r="C9" s="4">
        <v>80.099999999999994</v>
      </c>
    </row>
    <row r="10" spans="1:3">
      <c r="A10" s="4">
        <v>9</v>
      </c>
      <c r="B10" s="62" t="s">
        <v>5</v>
      </c>
      <c r="C10" s="4">
        <v>80.099999999999994</v>
      </c>
    </row>
    <row r="11" spans="1:3">
      <c r="A11" s="4">
        <v>10</v>
      </c>
      <c r="B11" s="62" t="s">
        <v>82</v>
      </c>
      <c r="C11" s="4">
        <v>79.8</v>
      </c>
    </row>
    <row r="12" spans="1:3">
      <c r="A12" s="4">
        <v>11</v>
      </c>
      <c r="B12" s="62" t="s">
        <v>17</v>
      </c>
      <c r="C12" s="4">
        <v>78.8</v>
      </c>
    </row>
    <row r="13" spans="1:3">
      <c r="A13" s="4">
        <v>12</v>
      </c>
      <c r="B13" s="62" t="s">
        <v>16</v>
      </c>
      <c r="C13" s="4">
        <v>76.7</v>
      </c>
    </row>
    <row r="14" spans="1:3">
      <c r="A14" s="4">
        <v>13</v>
      </c>
      <c r="B14" s="62" t="s">
        <v>96</v>
      </c>
      <c r="C14" s="4">
        <v>76.400000000000006</v>
      </c>
    </row>
    <row r="15" spans="1:3">
      <c r="A15" s="4">
        <v>14</v>
      </c>
      <c r="B15" s="62" t="s">
        <v>9</v>
      </c>
      <c r="C15" s="4">
        <v>76.099999999999994</v>
      </c>
    </row>
    <row r="16" spans="1:3">
      <c r="A16" s="4">
        <v>15</v>
      </c>
      <c r="B16" s="62" t="s">
        <v>27</v>
      </c>
      <c r="C16" s="4">
        <v>76.099999999999994</v>
      </c>
    </row>
    <row r="17" spans="1:3">
      <c r="A17" s="4">
        <v>16</v>
      </c>
      <c r="B17" s="62" t="s">
        <v>4</v>
      </c>
      <c r="C17" s="4">
        <v>75.099999999999994</v>
      </c>
    </row>
    <row r="18" spans="1:3">
      <c r="A18" s="4">
        <v>17</v>
      </c>
      <c r="B18" s="62" t="s">
        <v>83</v>
      </c>
      <c r="C18" s="4">
        <v>75</v>
      </c>
    </row>
    <row r="19" spans="1:3">
      <c r="A19" s="4">
        <v>18</v>
      </c>
      <c r="B19" s="62" t="s">
        <v>23</v>
      </c>
      <c r="C19" s="4">
        <v>75</v>
      </c>
    </row>
    <row r="20" spans="1:3">
      <c r="A20" s="4">
        <v>19</v>
      </c>
      <c r="B20" s="62" t="s">
        <v>65</v>
      </c>
      <c r="C20" s="4">
        <v>74.7</v>
      </c>
    </row>
    <row r="21" spans="1:3">
      <c r="A21" s="4">
        <v>20</v>
      </c>
      <c r="B21" s="62" t="s">
        <v>42</v>
      </c>
      <c r="C21" s="4">
        <v>74.599999999999994</v>
      </c>
    </row>
    <row r="22" spans="1:3">
      <c r="A22" s="4">
        <v>21</v>
      </c>
      <c r="B22" s="62" t="s">
        <v>14</v>
      </c>
      <c r="C22" s="4">
        <v>74.400000000000006</v>
      </c>
    </row>
    <row r="23" spans="1:3">
      <c r="A23" s="4">
        <v>22</v>
      </c>
      <c r="B23" s="62" t="s">
        <v>32</v>
      </c>
      <c r="C23" s="4">
        <v>74.3</v>
      </c>
    </row>
    <row r="24" spans="1:3">
      <c r="A24" s="4">
        <v>23</v>
      </c>
      <c r="B24" s="62" t="s">
        <v>69</v>
      </c>
      <c r="C24" s="4">
        <v>73.5</v>
      </c>
    </row>
    <row r="25" spans="1:3">
      <c r="A25" s="4">
        <v>24</v>
      </c>
      <c r="B25" s="62" t="s">
        <v>37</v>
      </c>
      <c r="C25" s="4">
        <v>72</v>
      </c>
    </row>
    <row r="26" spans="1:3">
      <c r="A26" s="4">
        <v>25</v>
      </c>
      <c r="B26" s="62" t="s">
        <v>44</v>
      </c>
      <c r="C26" s="4">
        <v>71.400000000000006</v>
      </c>
    </row>
    <row r="27" spans="1:3">
      <c r="A27" s="4">
        <v>26</v>
      </c>
      <c r="B27" s="62" t="s">
        <v>28</v>
      </c>
      <c r="C27" s="4">
        <v>70.5</v>
      </c>
    </row>
    <row r="28" spans="1:3">
      <c r="A28" s="4">
        <v>27</v>
      </c>
      <c r="B28" s="62" t="s">
        <v>51</v>
      </c>
      <c r="C28" s="4">
        <v>70.400000000000006</v>
      </c>
    </row>
    <row r="29" spans="1:3">
      <c r="A29" s="4">
        <v>28</v>
      </c>
      <c r="B29" s="62" t="s">
        <v>45</v>
      </c>
      <c r="C29" s="4">
        <v>70</v>
      </c>
    </row>
    <row r="30" spans="1:3">
      <c r="A30" s="4">
        <v>29</v>
      </c>
      <c r="B30" s="62" t="s">
        <v>64</v>
      </c>
      <c r="C30" s="4">
        <v>69.400000000000006</v>
      </c>
    </row>
    <row r="31" spans="1:3">
      <c r="A31" s="4">
        <v>30</v>
      </c>
      <c r="B31" s="62" t="s">
        <v>36</v>
      </c>
      <c r="C31" s="4">
        <v>69.099999999999994</v>
      </c>
    </row>
    <row r="32" spans="1:3">
      <c r="A32" s="4">
        <v>31</v>
      </c>
      <c r="B32" s="62" t="s">
        <v>80</v>
      </c>
      <c r="C32" s="4">
        <v>69</v>
      </c>
    </row>
    <row r="33" spans="1:3">
      <c r="A33" s="4">
        <v>32</v>
      </c>
      <c r="B33" s="62" t="s">
        <v>95</v>
      </c>
      <c r="C33" s="4">
        <v>68.5</v>
      </c>
    </row>
    <row r="34" spans="1:3">
      <c r="A34" s="4">
        <v>33</v>
      </c>
      <c r="B34" s="62" t="s">
        <v>24</v>
      </c>
      <c r="C34" s="4">
        <v>68.099999999999994</v>
      </c>
    </row>
    <row r="35" spans="1:3">
      <c r="A35" s="4">
        <v>34</v>
      </c>
      <c r="B35" s="62" t="s">
        <v>25</v>
      </c>
      <c r="C35" s="4">
        <v>67.400000000000006</v>
      </c>
    </row>
    <row r="36" spans="1:3">
      <c r="A36" s="4">
        <v>35</v>
      </c>
      <c r="B36" s="62" t="s">
        <v>102</v>
      </c>
      <c r="C36" s="4">
        <v>67.099999999999994</v>
      </c>
    </row>
    <row r="37" spans="1:3">
      <c r="A37" s="4">
        <v>36</v>
      </c>
      <c r="B37" s="62" t="s">
        <v>63</v>
      </c>
      <c r="C37" s="4">
        <v>66.7</v>
      </c>
    </row>
    <row r="38" spans="1:3">
      <c r="A38" s="4">
        <v>37</v>
      </c>
      <c r="B38" s="62" t="s">
        <v>73</v>
      </c>
      <c r="C38" s="4">
        <v>65.8</v>
      </c>
    </row>
    <row r="39" spans="1:3">
      <c r="A39" s="4">
        <v>38</v>
      </c>
      <c r="B39" s="62" t="s">
        <v>77</v>
      </c>
      <c r="C39" s="4">
        <v>64.8</v>
      </c>
    </row>
    <row r="40" spans="1:3">
      <c r="A40" s="4">
        <v>39</v>
      </c>
      <c r="B40" s="62" t="s">
        <v>39</v>
      </c>
      <c r="C40" s="4">
        <v>64.7</v>
      </c>
    </row>
    <row r="41" spans="1:3">
      <c r="A41" s="4">
        <v>40</v>
      </c>
      <c r="B41" s="62" t="s">
        <v>8</v>
      </c>
      <c r="C41" s="4">
        <v>63.8</v>
      </c>
    </row>
    <row r="42" spans="1:3">
      <c r="A42" s="4">
        <v>41</v>
      </c>
      <c r="B42" s="62" t="s">
        <v>94</v>
      </c>
      <c r="C42" s="4">
        <v>63.8</v>
      </c>
    </row>
    <row r="43" spans="1:3">
      <c r="A43" s="4">
        <v>42</v>
      </c>
      <c r="B43" s="62" t="s">
        <v>38</v>
      </c>
      <c r="C43" s="4">
        <v>63.1</v>
      </c>
    </row>
    <row r="44" spans="1:3">
      <c r="A44" s="4">
        <v>43</v>
      </c>
      <c r="B44" s="62" t="s">
        <v>29</v>
      </c>
      <c r="C44" s="4">
        <v>62</v>
      </c>
    </row>
    <row r="45" spans="1:3">
      <c r="A45" s="4">
        <v>44</v>
      </c>
      <c r="B45" s="62" t="s">
        <v>62</v>
      </c>
      <c r="C45" s="4">
        <v>61.6</v>
      </c>
    </row>
    <row r="46" spans="1:3">
      <c r="A46" s="4">
        <v>45</v>
      </c>
      <c r="B46" s="62" t="s">
        <v>11</v>
      </c>
      <c r="C46" s="4">
        <v>61.5</v>
      </c>
    </row>
    <row r="47" spans="1:3">
      <c r="A47" s="4">
        <v>46</v>
      </c>
      <c r="B47" s="62" t="s">
        <v>50</v>
      </c>
      <c r="C47" s="4">
        <v>61.2</v>
      </c>
    </row>
    <row r="48" spans="1:3">
      <c r="A48" s="4">
        <v>47</v>
      </c>
      <c r="B48" s="62" t="s">
        <v>10</v>
      </c>
      <c r="C48" s="4">
        <v>60.3</v>
      </c>
    </row>
    <row r="49" spans="1:3">
      <c r="A49" s="4">
        <v>48</v>
      </c>
      <c r="B49" s="62" t="s">
        <v>18</v>
      </c>
      <c r="C49" s="4">
        <v>59.8</v>
      </c>
    </row>
    <row r="50" spans="1:3">
      <c r="A50" s="4">
        <v>49</v>
      </c>
      <c r="B50" s="62" t="s">
        <v>163</v>
      </c>
      <c r="C50" s="4">
        <v>59.6</v>
      </c>
    </row>
    <row r="51" spans="1:3">
      <c r="A51" s="4">
        <v>50</v>
      </c>
      <c r="B51" s="62" t="s">
        <v>104</v>
      </c>
      <c r="C51" s="4">
        <v>57.8</v>
      </c>
    </row>
    <row r="52" spans="1:3">
      <c r="A52" s="4">
        <v>51</v>
      </c>
      <c r="B52" s="62" t="s">
        <v>3</v>
      </c>
      <c r="C52" s="4">
        <v>57.3</v>
      </c>
    </row>
    <row r="53" spans="1:3">
      <c r="A53" s="4">
        <v>52</v>
      </c>
      <c r="B53" s="62" t="s">
        <v>40</v>
      </c>
      <c r="C53" s="4">
        <v>57.1</v>
      </c>
    </row>
    <row r="54" spans="1:3">
      <c r="A54" s="4">
        <v>53</v>
      </c>
      <c r="B54" s="62" t="s">
        <v>70</v>
      </c>
      <c r="C54" s="4">
        <v>55.6</v>
      </c>
    </row>
    <row r="55" spans="1:3">
      <c r="A55" s="4">
        <v>54</v>
      </c>
      <c r="B55" s="62" t="s">
        <v>55</v>
      </c>
      <c r="C55" s="4">
        <v>55.6</v>
      </c>
    </row>
    <row r="56" spans="1:3">
      <c r="A56" s="4">
        <v>55</v>
      </c>
      <c r="B56" s="62" t="s">
        <v>99</v>
      </c>
      <c r="C56" s="4">
        <v>55.4</v>
      </c>
    </row>
    <row r="57" spans="1:3">
      <c r="A57" s="4">
        <v>56</v>
      </c>
      <c r="B57" s="62" t="s">
        <v>110</v>
      </c>
      <c r="C57" s="4">
        <v>53.9</v>
      </c>
    </row>
    <row r="58" spans="1:3">
      <c r="A58" s="4">
        <v>57</v>
      </c>
      <c r="B58" s="62" t="s">
        <v>67</v>
      </c>
      <c r="C58" s="4">
        <v>53.9</v>
      </c>
    </row>
    <row r="59" spans="1:3">
      <c r="A59" s="4">
        <v>58</v>
      </c>
      <c r="B59" s="62" t="s">
        <v>30</v>
      </c>
      <c r="C59" s="4">
        <v>52.6</v>
      </c>
    </row>
    <row r="60" spans="1:3">
      <c r="A60" s="4">
        <v>59</v>
      </c>
      <c r="B60" s="62" t="s">
        <v>97</v>
      </c>
      <c r="C60" s="4">
        <v>52.3</v>
      </c>
    </row>
    <row r="61" spans="1:3">
      <c r="A61" s="4">
        <v>60</v>
      </c>
      <c r="B61" s="62" t="s">
        <v>7</v>
      </c>
      <c r="C61" s="4">
        <v>52.1</v>
      </c>
    </row>
    <row r="62" spans="1:3">
      <c r="A62" s="4">
        <v>61</v>
      </c>
      <c r="B62" s="62" t="s">
        <v>91</v>
      </c>
      <c r="C62" s="4">
        <v>51.7</v>
      </c>
    </row>
    <row r="63" spans="1:3">
      <c r="A63" s="4">
        <v>62</v>
      </c>
      <c r="B63" s="62" t="s">
        <v>101</v>
      </c>
      <c r="C63" s="4">
        <v>51.7</v>
      </c>
    </row>
    <row r="64" spans="1:3">
      <c r="A64" s="4">
        <v>63</v>
      </c>
      <c r="B64" s="62" t="s">
        <v>89</v>
      </c>
      <c r="C64" s="4">
        <v>51.4</v>
      </c>
    </row>
    <row r="65" spans="1:3">
      <c r="A65" s="4">
        <v>64</v>
      </c>
      <c r="B65" s="62" t="s">
        <v>48</v>
      </c>
      <c r="C65" s="4">
        <v>51.3</v>
      </c>
    </row>
    <row r="66" spans="1:3">
      <c r="A66" s="4">
        <v>65</v>
      </c>
      <c r="B66" s="62" t="s">
        <v>61</v>
      </c>
      <c r="C66" s="4">
        <v>50.3</v>
      </c>
    </row>
    <row r="67" spans="1:3">
      <c r="A67" s="4">
        <v>66</v>
      </c>
      <c r="B67" s="62" t="s">
        <v>90</v>
      </c>
      <c r="C67" s="4">
        <v>49.9</v>
      </c>
    </row>
    <row r="68" spans="1:3">
      <c r="A68" s="4">
        <v>67</v>
      </c>
      <c r="B68" s="62" t="s">
        <v>22</v>
      </c>
      <c r="C68" s="4">
        <v>49.3</v>
      </c>
    </row>
    <row r="69" spans="1:3">
      <c r="A69" s="4">
        <v>68</v>
      </c>
      <c r="B69" s="62" t="s">
        <v>133</v>
      </c>
      <c r="C69" s="4">
        <v>47.4</v>
      </c>
    </row>
    <row r="70" spans="1:3">
      <c r="A70" s="4">
        <v>69</v>
      </c>
      <c r="B70" s="62" t="s">
        <v>174</v>
      </c>
      <c r="C70" s="4">
        <v>46.8</v>
      </c>
    </row>
    <row r="71" spans="1:3">
      <c r="A71" s="4">
        <v>70</v>
      </c>
      <c r="B71" s="62" t="s">
        <v>141</v>
      </c>
      <c r="C71" s="4">
        <v>45.5</v>
      </c>
    </row>
    <row r="72" spans="1:3">
      <c r="A72" s="4">
        <v>71</v>
      </c>
      <c r="B72" s="62" t="s">
        <v>68</v>
      </c>
      <c r="C72" s="4">
        <v>44.8</v>
      </c>
    </row>
    <row r="73" spans="1:3">
      <c r="A73" s="4">
        <v>72</v>
      </c>
      <c r="B73" s="62" t="s">
        <v>151</v>
      </c>
      <c r="C73" s="4">
        <v>43.8</v>
      </c>
    </row>
    <row r="74" spans="1:3">
      <c r="A74" s="4">
        <v>73</v>
      </c>
      <c r="B74" s="62" t="s">
        <v>84</v>
      </c>
      <c r="C74" s="4">
        <v>43.7</v>
      </c>
    </row>
    <row r="75" spans="1:3">
      <c r="A75" s="4">
        <v>74</v>
      </c>
      <c r="B75" s="62" t="s">
        <v>147</v>
      </c>
      <c r="C75" s="4">
        <v>43.5</v>
      </c>
    </row>
    <row r="76" spans="1:3">
      <c r="A76" s="4">
        <v>75</v>
      </c>
      <c r="B76" s="62" t="s">
        <v>71</v>
      </c>
      <c r="C76" s="4">
        <v>43.5</v>
      </c>
    </row>
    <row r="77" spans="1:3">
      <c r="A77" s="4">
        <v>76</v>
      </c>
      <c r="B77" s="62" t="s">
        <v>21</v>
      </c>
      <c r="C77" s="4">
        <v>42.7</v>
      </c>
    </row>
    <row r="78" spans="1:3">
      <c r="A78" s="4">
        <v>77</v>
      </c>
      <c r="B78" s="62" t="s">
        <v>43</v>
      </c>
      <c r="C78" s="4">
        <v>41.4</v>
      </c>
    </row>
    <row r="79" spans="1:3">
      <c r="A79" s="4">
        <v>78</v>
      </c>
      <c r="B79" s="62" t="s">
        <v>58</v>
      </c>
      <c r="C79" s="4">
        <v>40.200000000000003</v>
      </c>
    </row>
    <row r="80" spans="1:3">
      <c r="A80" s="4">
        <v>79</v>
      </c>
      <c r="B80" s="62" t="s">
        <v>88</v>
      </c>
      <c r="C80" s="4">
        <v>36.700000000000003</v>
      </c>
    </row>
    <row r="81" spans="1:3">
      <c r="A81" s="4">
        <v>80</v>
      </c>
      <c r="B81" s="62" t="s">
        <v>124</v>
      </c>
      <c r="C81" s="4">
        <v>36</v>
      </c>
    </row>
    <row r="82" spans="1:3">
      <c r="A82" s="4">
        <v>81</v>
      </c>
      <c r="B82" s="62" t="s">
        <v>183</v>
      </c>
      <c r="C82" s="4">
        <v>36</v>
      </c>
    </row>
    <row r="83" spans="1:3">
      <c r="A83" s="4">
        <v>82</v>
      </c>
      <c r="B83" s="62" t="s">
        <v>148</v>
      </c>
      <c r="C83" s="4">
        <v>34.5</v>
      </c>
    </row>
  </sheetData>
  <hyperlinks>
    <hyperlink ref="B3" r:id="rId1" display=" Norway" xr:uid="{CC0FEE87-9449-41C3-84DB-8BCC93996903}"/>
    <hyperlink ref="B4" r:id="rId2" display=" Finland" xr:uid="{6E56094B-4BBE-42EF-B190-87EEBD300F0B}"/>
    <hyperlink ref="B5" r:id="rId3" display=" Sweden" xr:uid="{484E7517-7933-4A9C-8330-A8F1692DD46F}"/>
    <hyperlink ref="B6" r:id="rId4" display=" Iceland" xr:uid="{96997124-30B3-4775-AF1F-9825FBE6F43E}"/>
    <hyperlink ref="B7" r:id="rId5" display=" Netherlands" xr:uid="{80BE6754-494F-45E6-843F-BD3DC5D9F09B}"/>
    <hyperlink ref="B8" r:id="rId6" display=" Switzerland" xr:uid="{E8702AD4-705B-4590-A14B-99A02C463D6A}"/>
    <hyperlink ref="B9" r:id="rId7" display=" Belgium" xr:uid="{4ED3B741-33DC-4C0E-8964-0A8E3ED9FCC6}"/>
    <hyperlink ref="B10" r:id="rId8" display=" Austria" xr:uid="{A3F2690A-9269-40A8-B981-7D614E0A8A09}"/>
    <hyperlink ref="B11" r:id="rId9" display=" Luxembourg" xr:uid="{F2E9610B-5915-4FEF-B9AF-98ACD2047394}"/>
    <hyperlink ref="B12" r:id="rId10" display=" Germany" xr:uid="{9A676111-13D9-4F39-8A09-041F71AF4AD6}"/>
    <hyperlink ref="B13" r:id="rId11" display=" France" xr:uid="{B66CA20B-330E-47C6-82FA-E90AC567ACDF}"/>
    <hyperlink ref="B14" r:id="rId12" display=" Slovenia" xr:uid="{8885BDC2-920F-420F-AE52-2E498D222342}"/>
    <hyperlink ref="B15" r:id="rId13" display=" Canada" xr:uid="{A34A0534-BE36-4825-B68B-E297174851C0}"/>
    <hyperlink ref="B16" r:id="rId14" display=" Japan" xr:uid="{15A43F91-666C-4159-9246-FA45FE1ACE3F}"/>
    <hyperlink ref="B17" r:id="rId15" display=" Australia" xr:uid="{7E4A068D-EAA5-4772-8669-C8C161717112}"/>
    <hyperlink ref="B18" r:id="rId16" display=" Malta" xr:uid="{962505E1-9815-4465-9D7B-9274752CE7E5}"/>
    <hyperlink ref="B19" r:id="rId17" display=" Ireland" xr:uid="{21ABF66D-DCA8-4524-9A52-7E504B049E99}"/>
    <hyperlink ref="B20" r:id="rId18" display=" Czech Republic" xr:uid="{C374F696-F9F9-4ECC-BD2A-B7A2A6FCD4BC}"/>
    <hyperlink ref="B21" r:id="rId19" display=" Singapore" xr:uid="{1F42693A-FCC2-4F42-AD4B-EBFD72FB05AE}"/>
    <hyperlink ref="B22" r:id="rId20" display=" United Kingdom" xr:uid="{19E90BDA-3B57-496E-8E7E-585D572BFBEC}"/>
    <hyperlink ref="B23" r:id="rId21" display=" New Zealand" xr:uid="{FED6E7C4-EC61-4578-8D49-69573C603726}"/>
    <hyperlink ref="B24" r:id="rId22" display=" Estonia" xr:uid="{3F5AF3BA-2451-4E94-A337-0A5C9B999DCC}"/>
    <hyperlink ref="B25" r:id="rId23" display=" Portugal" xr:uid="{E419E150-FD47-49AD-8CB7-F0C77B010EE4}"/>
    <hyperlink ref="B26" r:id="rId24" display=" South Korea" xr:uid="{2A5E8FC7-B51B-446C-AD17-9641E8C1BC7E}"/>
    <hyperlink ref="B27" r:id="rId25" display=" Lithuania" xr:uid="{83BDD7B2-F179-4451-8A29-DA2D43621A64}"/>
    <hyperlink ref="B28" r:id="rId26" display=" United States" xr:uid="{5B6C3D8C-84A1-40A2-AD20-91C330243940}"/>
    <hyperlink ref="B29" r:id="rId27" display=" Spain" xr:uid="{C0DA5816-1126-4CFA-9187-4205859774E8}"/>
    <hyperlink ref="B30" r:id="rId28" display=" Cyprus" xr:uid="{1FA59855-15FD-45BB-97D8-D1B07BB6ACBB}"/>
    <hyperlink ref="B31" r:id="rId29" display=" Poland" xr:uid="{A1CAE942-5DC2-48FC-8BDD-875B93149A54}"/>
    <hyperlink ref="B32" r:id="rId30" display=" Latvia" xr:uid="{3E961E9B-4726-4698-95BB-45AD6D5B2572}"/>
    <hyperlink ref="B33" r:id="rId31" display=" Slovakia" xr:uid="{A995E12F-692C-4E32-B29B-537D5BEE5479}"/>
    <hyperlink ref="B34" r:id="rId32" display=" Israel" xr:uid="{2387D752-62F4-40E7-936F-570C960E70E4}"/>
    <hyperlink ref="B35" r:id="rId33" display=" Italy" xr:uid="{3BC6FFF0-D1FD-4D6D-BF2E-92866E21F705}"/>
    <hyperlink ref="B36" r:id="rId34" display=" Uruguay" xr:uid="{C7B4FFB6-7CFB-477B-9678-2561DBDBD053}"/>
    <hyperlink ref="B37" r:id="rId35" display=" Croatia" xr:uid="{A76F39DD-5075-43BB-A884-1A4480F78ED4}"/>
    <hyperlink ref="B38" r:id="rId36" display=" Hungary" xr:uid="{8349E126-0951-4BBE-AE53-80D1569739A5}"/>
    <hyperlink ref="B39" r:id="rId37" display=" Kazakhstan" xr:uid="{C11BC3BE-DCFB-465D-B3CA-A702C691ECBB}"/>
    <hyperlink ref="B40" r:id="rId38" display=" Russia" xr:uid="{D0F3C9E8-8726-4BCD-8D9C-3FF8418EE733}"/>
    <hyperlink ref="B41" r:id="rId39" display=" Bulgaria" xr:uid="{B3EF4AA9-3EDD-41AC-B562-5B36F9A24EE0}"/>
    <hyperlink ref="B42" r:id="rId40" display=" Serbia" xr:uid="{BA7AE1A0-2D19-4B37-A78E-1D3118D6E382}"/>
    <hyperlink ref="B43" r:id="rId41" display=" Romania" xr:uid="{10B3AFB3-BF18-435C-9E34-024DC0895B83}"/>
    <hyperlink ref="B44" r:id="rId42" display=" Malaysia" xr:uid="{972F4042-0F3C-4CF0-881B-6ABD578B964A}"/>
    <hyperlink ref="B45" r:id="rId43" display=" Costa Rica" xr:uid="{7217633D-12EB-4BE4-B97A-0543F859EC65}"/>
    <hyperlink ref="B46" r:id="rId44" display=" China" xr:uid="{750DD9A7-D2C4-420C-B75D-D01534AE58C4}"/>
    <hyperlink ref="B47" r:id="rId45" display=" Ukraine" xr:uid="{67D809D6-D140-4604-8D93-62CE40E4F87B}"/>
    <hyperlink ref="B48" r:id="rId46" display=" Chile" xr:uid="{C817DA88-0D2A-4E36-9369-ED49842CF447}"/>
    <hyperlink ref="B49" r:id="rId47" display=" Greece" xr:uid="{C966AA0C-FA95-4414-869C-BBE2C0F79814}"/>
    <hyperlink ref="B50" r:id="rId48" display=" Moldova" xr:uid="{401DD36F-320F-4664-9CDD-2F444AE1A9BF}"/>
    <hyperlink ref="B51" r:id="rId49" display=" Vietnam" xr:uid="{0A31D666-FD74-481E-B51E-6151B35DACFB}"/>
    <hyperlink ref="B52" r:id="rId50" display=" Argentina" xr:uid="{B1349B1E-60B4-447A-91BB-0311F41AEAEB}"/>
    <hyperlink ref="B53" r:id="rId51" display=" Saudi Arabia" xr:uid="{CF0665C1-16D1-4381-9DBE-86516C956E1C}"/>
    <hyperlink ref="B54" r:id="rId52" display=" Georgia" xr:uid="{156DBD68-90F5-49DB-B795-58A25FBF6576}"/>
    <hyperlink ref="B55" r:id="rId53" display=" Albania" xr:uid="{10928B1C-742E-4766-810D-77A56D320644}"/>
    <hyperlink ref="B56" r:id="rId54" display=" Thailand" xr:uid="{EE04F3D2-81CE-412F-A4D2-F1DB3CAB77A7}"/>
    <hyperlink ref="B57" r:id="rId55" display=" Armenia" xr:uid="{29D96D9A-1C6F-463A-AF86-93DA6D4F0E27}"/>
    <hyperlink ref="B58" r:id="rId56" display=" Ecuador" xr:uid="{1CFD0003-8BE6-45D8-8391-FD72C5CC88B7}"/>
    <hyperlink ref="B59" r:id="rId57" display=" Mexico" xr:uid="{D4FA2F11-F31A-4620-AAE1-A32A0C11455E}"/>
    <hyperlink ref="B60" r:id="rId58" display=" Sri Lanka" xr:uid="{DE1F03F7-A931-4B12-92F0-F52ADD5C89D2}"/>
    <hyperlink ref="B61" r:id="rId59" display=" Brazil" xr:uid="{0D82A080-2A69-4BD3-9CA8-CDC25526E266}"/>
    <hyperlink ref="B62" r:id="rId60" display=" Philippines" xr:uid="{212F77FB-E14D-4BBE-9135-97C0543ED8E3}"/>
    <hyperlink ref="B63" r:id="rId61" display=" Tunisia" xr:uid="{E5DDC29F-E1C6-4204-9BBE-71B7DDE6DCDE}"/>
    <hyperlink ref="B64" r:id="rId62" display=" Panama" xr:uid="{27CCD696-70EA-46DB-B00A-ED5718DA5BE9}"/>
    <hyperlink ref="B65" r:id="rId63" display=" Turkey" xr:uid="{6B4FF09A-81C9-43C0-A492-9E3D76F5C661}"/>
    <hyperlink ref="B66" r:id="rId64" display=" Colombia" xr:uid="{137FCD10-BCCB-4E56-A52D-662F5969E60E}"/>
    <hyperlink ref="B67" r:id="rId65" display=" Peru" xr:uid="{E6087547-5069-4A06-9015-7A795C347E84}"/>
    <hyperlink ref="B68" r:id="rId66" display=" Indonesia" xr:uid="{BABCFB95-A059-4DCA-9A4A-DC51CDF7E242}"/>
    <hyperlink ref="B69" r:id="rId67" display=" El Salvador" xr:uid="{76D170F9-4E6C-42AE-B273-D7DED64002F9}"/>
    <hyperlink ref="B70" r:id="rId68" display=" Paraguay" xr:uid="{2200A7EC-6B67-4CE7-91BD-DB5742512340}"/>
    <hyperlink ref="B71" r:id="rId69" display=" Ghana" xr:uid="{8E5EBD1B-7646-41EC-865C-A7D5C9E31541}"/>
    <hyperlink ref="B72" r:id="rId70" display=" Egypt" xr:uid="{85C61166-F56A-4F77-97D4-3EE955A96273}"/>
    <hyperlink ref="B73" r:id="rId71" display=" Laos" xr:uid="{D398070F-B3D5-4D68-A6E3-874BF61080F8}"/>
    <hyperlink ref="B74" r:id="rId72" display=" Morocco" xr:uid="{6FCF32F7-7CCF-4F58-AA31-B1096937ECAB}"/>
    <hyperlink ref="B75" r:id="rId73" display=" Honduras" xr:uid="{CFFE4235-C265-42B5-A1B3-7665F95B868E}"/>
    <hyperlink ref="B76" r:id="rId74" display=" Guatemala" xr:uid="{B5814243-1B6C-4F2E-B30D-729C11A88A22}"/>
    <hyperlink ref="B77" r:id="rId75" display=" India" xr:uid="{D25D9EFB-0062-4CE7-8CFE-629404C63F5B}"/>
    <hyperlink ref="B78" r:id="rId76" display=" South Africa" xr:uid="{F443DB58-8FD9-4901-B730-145C6EFEEF61}"/>
    <hyperlink ref="B79" r:id="rId77" display=" Bangladesh" xr:uid="{F50453BD-0092-4966-BDB8-8327BFBBE19F}"/>
    <hyperlink ref="B80" r:id="rId78" display=" Pakistan" xr:uid="{D33379AE-07DF-4664-B25C-990948B9F99A}"/>
    <hyperlink ref="B81" r:id="rId79" display=" Cameroon" xr:uid="{ED086674-305B-46EB-9215-B18512300F9D}"/>
    <hyperlink ref="B82" r:id="rId80" display=" Senegal" xr:uid="{E4395DB0-AA2D-4CBE-8E9F-A86713096C00}"/>
    <hyperlink ref="B83" r:id="rId81" display=" Ivory Coast" xr:uid="{1943B007-C840-4D78-AAA6-8E9B72DF0550}"/>
    <hyperlink ref="B2" r:id="rId82" display=" Denmark" xr:uid="{5B31A24F-2165-4E52-AECB-FCFA3D110AD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F0BB-846A-4F9C-B589-241EE988D2BF}">
  <dimension ref="A1:D106"/>
  <sheetViews>
    <sheetView topLeftCell="E1" workbookViewId="0"/>
  </sheetViews>
  <sheetFormatPr defaultRowHeight="15"/>
  <sheetData>
    <row r="1" spans="1:4">
      <c r="A1" s="65" t="s">
        <v>0</v>
      </c>
      <c r="B1" s="65" t="s">
        <v>426</v>
      </c>
      <c r="C1" s="66" t="s">
        <v>427</v>
      </c>
      <c r="D1" s="65" t="s">
        <v>428</v>
      </c>
    </row>
    <row r="2" spans="1:4" ht="29.25">
      <c r="A2" s="67" t="s">
        <v>106</v>
      </c>
      <c r="B2" s="63">
        <v>0.8</v>
      </c>
      <c r="C2" s="64">
        <v>1.18</v>
      </c>
      <c r="D2" s="63">
        <v>14.8</v>
      </c>
    </row>
    <row r="3" spans="1:4">
      <c r="A3" s="67" t="s">
        <v>56</v>
      </c>
      <c r="B3" s="63">
        <v>0.7</v>
      </c>
      <c r="C3" s="64">
        <v>1.4390000000000001</v>
      </c>
      <c r="D3" s="63">
        <v>16</v>
      </c>
    </row>
    <row r="4" spans="1:4">
      <c r="A4" s="67" t="s">
        <v>3</v>
      </c>
      <c r="B4" s="63">
        <v>0.1</v>
      </c>
      <c r="C4" s="64">
        <v>11.352</v>
      </c>
      <c r="D4" s="63">
        <v>22.3</v>
      </c>
    </row>
    <row r="5" spans="1:4">
      <c r="A5" s="67" t="s">
        <v>110</v>
      </c>
      <c r="B5" s="63">
        <v>0.5</v>
      </c>
      <c r="C5" s="64">
        <v>2.137</v>
      </c>
      <c r="D5" s="63">
        <v>15.4</v>
      </c>
    </row>
    <row r="6" spans="1:4">
      <c r="A6" s="67" t="s">
        <v>4</v>
      </c>
      <c r="B6" s="63">
        <v>1.2</v>
      </c>
      <c r="C6" s="64">
        <v>0.82399999999999995</v>
      </c>
      <c r="D6" s="63">
        <v>9.9</v>
      </c>
    </row>
    <row r="7" spans="1:4">
      <c r="A7" s="67" t="s">
        <v>5</v>
      </c>
      <c r="B7" s="63">
        <v>1.4</v>
      </c>
      <c r="C7" s="64">
        <v>0.69199999999999995</v>
      </c>
      <c r="D7" s="63">
        <v>10.6</v>
      </c>
    </row>
    <row r="8" spans="1:4" ht="29.25">
      <c r="A8" s="67" t="s">
        <v>57</v>
      </c>
      <c r="B8" s="63">
        <v>0.6</v>
      </c>
      <c r="C8" s="64">
        <v>1.617</v>
      </c>
      <c r="D8" s="63">
        <v>14.7</v>
      </c>
    </row>
    <row r="9" spans="1:4">
      <c r="A9" s="67" t="s">
        <v>111</v>
      </c>
      <c r="B9" s="63">
        <v>0.7</v>
      </c>
      <c r="C9" s="64">
        <v>1.43</v>
      </c>
      <c r="D9" s="63">
        <v>12.8</v>
      </c>
    </row>
    <row r="10" spans="1:4">
      <c r="A10" s="67" t="s">
        <v>59</v>
      </c>
      <c r="B10" s="63">
        <v>0.4</v>
      </c>
      <c r="C10" s="64">
        <v>2.6920000000000002</v>
      </c>
      <c r="D10" s="63">
        <v>13.6</v>
      </c>
    </row>
    <row r="11" spans="1:4">
      <c r="A11" s="67" t="s">
        <v>6</v>
      </c>
      <c r="B11" s="63">
        <v>2.2999999999999998</v>
      </c>
      <c r="C11" s="64">
        <v>0.42899999999999999</v>
      </c>
      <c r="D11" s="63">
        <v>6.4</v>
      </c>
    </row>
    <row r="12" spans="1:4">
      <c r="A12" s="67" t="s">
        <v>117</v>
      </c>
      <c r="B12" s="63">
        <v>0.8</v>
      </c>
      <c r="C12" s="64">
        <v>1.228</v>
      </c>
      <c r="D12" s="63">
        <v>12.9</v>
      </c>
    </row>
    <row r="13" spans="1:4" ht="57.75">
      <c r="A13" s="67" t="s">
        <v>118</v>
      </c>
      <c r="B13" s="63">
        <v>1.2</v>
      </c>
      <c r="C13" s="64">
        <v>0.81499999999999995</v>
      </c>
      <c r="D13" s="63">
        <v>11.7</v>
      </c>
    </row>
    <row r="14" spans="1:4">
      <c r="A14" s="67" t="s">
        <v>7</v>
      </c>
      <c r="B14" s="63">
        <v>0.5</v>
      </c>
      <c r="C14" s="64">
        <v>1.9159999999999999</v>
      </c>
      <c r="D14" s="63">
        <v>16.8</v>
      </c>
    </row>
    <row r="15" spans="1:4">
      <c r="A15" s="67" t="s">
        <v>8</v>
      </c>
      <c r="B15" s="63">
        <v>1.6</v>
      </c>
      <c r="C15" s="64">
        <v>0.63200000000000001</v>
      </c>
      <c r="D15" s="63">
        <v>8.6999999999999993</v>
      </c>
    </row>
    <row r="16" spans="1:4" ht="29.25">
      <c r="A16" s="67" t="s">
        <v>123</v>
      </c>
      <c r="B16" s="63">
        <v>0.3</v>
      </c>
      <c r="C16" s="64">
        <v>3.379</v>
      </c>
      <c r="D16" s="63">
        <v>29.2</v>
      </c>
    </row>
    <row r="17" spans="1:4" ht="29.25">
      <c r="A17" s="67" t="s">
        <v>124</v>
      </c>
      <c r="B17" s="63">
        <v>0.1</v>
      </c>
      <c r="C17" s="64">
        <v>7.4790000000000001</v>
      </c>
      <c r="D17" s="63">
        <v>41.7</v>
      </c>
    </row>
    <row r="18" spans="1:4">
      <c r="A18" s="67" t="s">
        <v>9</v>
      </c>
      <c r="B18" s="63">
        <v>1.2</v>
      </c>
      <c r="C18" s="64">
        <v>0.85799999999999998</v>
      </c>
      <c r="D18" s="63">
        <v>9.6</v>
      </c>
    </row>
    <row r="19" spans="1:4">
      <c r="A19" s="67" t="s">
        <v>10</v>
      </c>
      <c r="B19" s="63">
        <v>0.8</v>
      </c>
      <c r="C19" s="64">
        <v>1.304</v>
      </c>
      <c r="D19" s="63">
        <v>16.2</v>
      </c>
    </row>
    <row r="20" spans="1:4">
      <c r="A20" s="67" t="s">
        <v>11</v>
      </c>
      <c r="B20" s="63">
        <v>0.4</v>
      </c>
      <c r="C20" s="64">
        <v>2.5939999999999999</v>
      </c>
      <c r="D20" s="63">
        <v>33</v>
      </c>
    </row>
    <row r="21" spans="1:4">
      <c r="A21" s="67" t="s">
        <v>61</v>
      </c>
      <c r="B21" s="63">
        <v>0.4</v>
      </c>
      <c r="C21" s="64">
        <v>2.4049999999999998</v>
      </c>
      <c r="D21" s="63">
        <v>18.100000000000001</v>
      </c>
    </row>
    <row r="22" spans="1:4" ht="29.25">
      <c r="A22" s="67" t="s">
        <v>62</v>
      </c>
      <c r="B22" s="63">
        <v>1</v>
      </c>
      <c r="C22" s="64">
        <v>1.028</v>
      </c>
      <c r="D22" s="63">
        <v>9.1999999999999993</v>
      </c>
    </row>
    <row r="23" spans="1:4">
      <c r="A23" s="67" t="s">
        <v>63</v>
      </c>
      <c r="B23" s="63">
        <v>1</v>
      </c>
      <c r="C23" s="64">
        <v>0.96099999999999997</v>
      </c>
      <c r="D23" s="63">
        <v>13.4</v>
      </c>
    </row>
    <row r="24" spans="1:4">
      <c r="A24" s="67" t="s">
        <v>64</v>
      </c>
      <c r="B24" s="63">
        <v>2.1</v>
      </c>
      <c r="C24" s="64">
        <v>0.48399999999999999</v>
      </c>
      <c r="D24" s="63">
        <v>7.2</v>
      </c>
    </row>
    <row r="25" spans="1:4" ht="29.25">
      <c r="A25" s="67" t="s">
        <v>65</v>
      </c>
      <c r="B25" s="63">
        <v>0.9</v>
      </c>
      <c r="C25" s="64">
        <v>1.167</v>
      </c>
      <c r="D25" s="63">
        <v>14</v>
      </c>
    </row>
    <row r="26" spans="1:4">
      <c r="A26" s="67" t="s">
        <v>13</v>
      </c>
      <c r="B26" s="63">
        <v>2.2000000000000002</v>
      </c>
      <c r="C26" s="64">
        <v>0.46200000000000002</v>
      </c>
      <c r="D26" s="63">
        <v>6.7</v>
      </c>
    </row>
    <row r="27" spans="1:4" ht="43.5">
      <c r="A27" s="67" t="s">
        <v>66</v>
      </c>
      <c r="B27" s="63">
        <v>0.5</v>
      </c>
      <c r="C27" s="64">
        <v>2.1339999999999999</v>
      </c>
      <c r="D27" s="63">
        <v>15.9</v>
      </c>
    </row>
    <row r="28" spans="1:4">
      <c r="A28" s="67" t="s">
        <v>67</v>
      </c>
      <c r="B28" s="63">
        <v>0.8</v>
      </c>
      <c r="C28" s="64">
        <v>1.294</v>
      </c>
      <c r="D28" s="63">
        <v>11.3</v>
      </c>
    </row>
    <row r="29" spans="1:4">
      <c r="A29" s="67" t="s">
        <v>68</v>
      </c>
      <c r="B29" s="63">
        <v>0.6</v>
      </c>
      <c r="C29" s="64">
        <v>1.758</v>
      </c>
      <c r="D29" s="63">
        <v>12.5</v>
      </c>
    </row>
    <row r="30" spans="1:4">
      <c r="A30" s="67" t="s">
        <v>69</v>
      </c>
      <c r="B30" s="63">
        <v>1.5</v>
      </c>
      <c r="C30" s="64">
        <v>0.66500000000000004</v>
      </c>
      <c r="D30" s="63">
        <v>10.199999999999999</v>
      </c>
    </row>
    <row r="31" spans="1:4">
      <c r="A31" s="67" t="s">
        <v>137</v>
      </c>
      <c r="B31" s="63">
        <v>0.2</v>
      </c>
      <c r="C31" s="64">
        <v>4.718</v>
      </c>
      <c r="D31" s="63">
        <v>28.9</v>
      </c>
    </row>
    <row r="32" spans="1:4">
      <c r="A32" s="67" t="s">
        <v>15</v>
      </c>
      <c r="B32" s="63">
        <v>2</v>
      </c>
      <c r="C32" s="64">
        <v>0.51100000000000001</v>
      </c>
      <c r="D32" s="63">
        <v>8.1</v>
      </c>
    </row>
    <row r="33" spans="1:4">
      <c r="A33" s="67" t="s">
        <v>16</v>
      </c>
      <c r="B33" s="63">
        <v>1.4</v>
      </c>
      <c r="C33" s="64">
        <v>0.7</v>
      </c>
      <c r="D33" s="63">
        <v>10.8</v>
      </c>
    </row>
    <row r="34" spans="1:4">
      <c r="A34" s="67" t="s">
        <v>70</v>
      </c>
      <c r="B34" s="63">
        <v>0.6</v>
      </c>
      <c r="C34" s="64">
        <v>1.72</v>
      </c>
      <c r="D34" s="63">
        <v>13.2</v>
      </c>
    </row>
    <row r="35" spans="1:4">
      <c r="A35" s="67" t="s">
        <v>17</v>
      </c>
      <c r="B35" s="63">
        <v>1.4</v>
      </c>
      <c r="C35" s="64">
        <v>0.70699999999999996</v>
      </c>
      <c r="D35" s="63">
        <v>10.199999999999999</v>
      </c>
    </row>
    <row r="36" spans="1:4">
      <c r="A36" s="67" t="s">
        <v>18</v>
      </c>
      <c r="B36" s="63">
        <v>1.1000000000000001</v>
      </c>
      <c r="C36" s="64">
        <v>0.878</v>
      </c>
      <c r="D36" s="63">
        <v>11.7</v>
      </c>
    </row>
    <row r="37" spans="1:4" ht="29.25">
      <c r="A37" s="67" t="s">
        <v>71</v>
      </c>
      <c r="B37" s="63">
        <v>0.8</v>
      </c>
      <c r="C37" s="64">
        <v>1.268</v>
      </c>
      <c r="D37" s="63">
        <v>12.5</v>
      </c>
    </row>
    <row r="38" spans="1:4">
      <c r="A38" s="67" t="s">
        <v>147</v>
      </c>
      <c r="B38" s="63">
        <v>0.9</v>
      </c>
      <c r="C38" s="64">
        <v>1.115</v>
      </c>
      <c r="D38" s="63">
        <v>8.5</v>
      </c>
    </row>
    <row r="39" spans="1:4" ht="29.25">
      <c r="A39" s="67" t="s">
        <v>19</v>
      </c>
      <c r="B39" s="63">
        <v>0.4</v>
      </c>
      <c r="C39" s="64">
        <v>2.7589999999999999</v>
      </c>
      <c r="D39" s="63">
        <v>42.1</v>
      </c>
    </row>
    <row r="40" spans="1:4">
      <c r="A40" s="67" t="s">
        <v>73</v>
      </c>
      <c r="B40" s="63">
        <v>0.7</v>
      </c>
      <c r="C40" s="64">
        <v>1.4350000000000001</v>
      </c>
      <c r="D40" s="63">
        <v>14.6</v>
      </c>
    </row>
    <row r="41" spans="1:4">
      <c r="A41" s="67" t="s">
        <v>20</v>
      </c>
      <c r="B41" s="63">
        <v>1.9</v>
      </c>
      <c r="C41" s="64">
        <v>0.51500000000000001</v>
      </c>
      <c r="D41" s="63">
        <v>5.9</v>
      </c>
    </row>
    <row r="42" spans="1:4">
      <c r="A42" s="67" t="s">
        <v>21</v>
      </c>
      <c r="B42" s="63">
        <v>1</v>
      </c>
      <c r="C42" s="64">
        <v>1.0329999999999999</v>
      </c>
      <c r="D42" s="63">
        <v>9.9</v>
      </c>
    </row>
    <row r="43" spans="1:4">
      <c r="A43" s="67" t="s">
        <v>22</v>
      </c>
      <c r="B43" s="63">
        <v>0.5</v>
      </c>
      <c r="C43" s="64">
        <v>2.206</v>
      </c>
      <c r="D43" s="63">
        <v>19.7</v>
      </c>
    </row>
    <row r="44" spans="1:4">
      <c r="A44" s="67" t="s">
        <v>74</v>
      </c>
      <c r="B44" s="63">
        <v>0.2</v>
      </c>
      <c r="C44" s="64">
        <v>4.7889999999999997</v>
      </c>
      <c r="D44" s="63">
        <v>22.2</v>
      </c>
    </row>
    <row r="45" spans="1:4">
      <c r="A45" s="67" t="s">
        <v>75</v>
      </c>
      <c r="B45" s="63">
        <v>1.1000000000000001</v>
      </c>
      <c r="C45" s="64">
        <v>0.872</v>
      </c>
      <c r="D45" s="63">
        <v>7.9</v>
      </c>
    </row>
    <row r="46" spans="1:4">
      <c r="A46" s="67" t="s">
        <v>23</v>
      </c>
      <c r="B46" s="63">
        <v>1.9</v>
      </c>
      <c r="C46" s="64">
        <v>0.53700000000000003</v>
      </c>
      <c r="D46" s="63">
        <v>7.3</v>
      </c>
    </row>
    <row r="47" spans="1:4">
      <c r="A47" s="67" t="s">
        <v>24</v>
      </c>
      <c r="B47" s="63">
        <v>0.9</v>
      </c>
      <c r="C47" s="64">
        <v>1.0549999999999999</v>
      </c>
      <c r="D47" s="63">
        <v>14.7</v>
      </c>
    </row>
    <row r="48" spans="1:4">
      <c r="A48" s="67" t="s">
        <v>25</v>
      </c>
      <c r="B48" s="63">
        <v>1.6</v>
      </c>
      <c r="C48" s="64">
        <v>0.64</v>
      </c>
      <c r="D48" s="63">
        <v>9.1999999999999993</v>
      </c>
    </row>
    <row r="49" spans="1:4">
      <c r="A49" s="67" t="s">
        <v>27</v>
      </c>
      <c r="B49" s="63">
        <v>1.7</v>
      </c>
      <c r="C49" s="64">
        <v>0.57699999999999996</v>
      </c>
      <c r="D49" s="63">
        <v>9.8000000000000007</v>
      </c>
    </row>
    <row r="50" spans="1:4">
      <c r="A50" s="67" t="s">
        <v>76</v>
      </c>
      <c r="B50" s="63">
        <v>1.4</v>
      </c>
      <c r="C50" s="64">
        <v>0.71799999999999997</v>
      </c>
      <c r="D50" s="63">
        <v>7.4</v>
      </c>
    </row>
    <row r="51" spans="1:4" ht="29.25">
      <c r="A51" s="67" t="s">
        <v>77</v>
      </c>
      <c r="B51" s="63">
        <v>0.6</v>
      </c>
      <c r="C51" s="64">
        <v>1.746</v>
      </c>
      <c r="D51" s="63">
        <v>10.9</v>
      </c>
    </row>
    <row r="52" spans="1:4">
      <c r="A52" s="67" t="s">
        <v>78</v>
      </c>
      <c r="B52" s="63">
        <v>0.5</v>
      </c>
      <c r="C52" s="64">
        <v>1.849</v>
      </c>
      <c r="D52" s="63">
        <v>13.6</v>
      </c>
    </row>
    <row r="53" spans="1:4">
      <c r="A53" s="67" t="s">
        <v>79</v>
      </c>
      <c r="B53" s="63">
        <v>1.3</v>
      </c>
      <c r="C53" s="64">
        <v>0.74199999999999999</v>
      </c>
      <c r="D53" s="63">
        <v>9.3000000000000007</v>
      </c>
    </row>
    <row r="54" spans="1:4" ht="29.25">
      <c r="A54" s="67" t="s">
        <v>150</v>
      </c>
      <c r="B54" s="63">
        <v>0.4</v>
      </c>
      <c r="C54" s="64">
        <v>2.4260000000000002</v>
      </c>
      <c r="D54" s="63">
        <v>13.7</v>
      </c>
    </row>
    <row r="55" spans="1:4">
      <c r="A55" s="67" t="s">
        <v>80</v>
      </c>
      <c r="B55" s="63">
        <v>1.7</v>
      </c>
      <c r="C55" s="64">
        <v>0.57799999999999996</v>
      </c>
      <c r="D55" s="63">
        <v>8.6</v>
      </c>
    </row>
    <row r="56" spans="1:4">
      <c r="A56" s="67" t="s">
        <v>81</v>
      </c>
      <c r="B56" s="63">
        <v>0.4</v>
      </c>
      <c r="C56" s="64">
        <v>2.774</v>
      </c>
      <c r="D56" s="63">
        <v>24.6</v>
      </c>
    </row>
    <row r="57" spans="1:4">
      <c r="A57" s="67" t="s">
        <v>28</v>
      </c>
      <c r="B57" s="63">
        <v>1.1000000000000001</v>
      </c>
      <c r="C57" s="64">
        <v>0.872</v>
      </c>
      <c r="D57" s="63">
        <v>12.6</v>
      </c>
    </row>
    <row r="58" spans="1:4" ht="29.25">
      <c r="A58" s="67" t="s">
        <v>82</v>
      </c>
      <c r="B58" s="63">
        <v>1.6</v>
      </c>
      <c r="C58" s="64">
        <v>0.60699999999999998</v>
      </c>
      <c r="D58" s="63">
        <v>10.1</v>
      </c>
    </row>
    <row r="59" spans="1:4">
      <c r="A59" s="67" t="s">
        <v>29</v>
      </c>
      <c r="B59" s="63">
        <v>1.6</v>
      </c>
      <c r="C59" s="64">
        <v>0.63800000000000001</v>
      </c>
      <c r="D59" s="63">
        <v>8.9</v>
      </c>
    </row>
    <row r="60" spans="1:4">
      <c r="A60" s="67" t="s">
        <v>83</v>
      </c>
      <c r="B60" s="63">
        <v>1.1000000000000001</v>
      </c>
      <c r="C60" s="64">
        <v>0.874</v>
      </c>
      <c r="D60" s="63">
        <v>11.3</v>
      </c>
    </row>
    <row r="61" spans="1:4">
      <c r="A61" s="67" t="s">
        <v>30</v>
      </c>
      <c r="B61" s="63">
        <v>0.9</v>
      </c>
      <c r="C61" s="64">
        <v>1.077</v>
      </c>
      <c r="D61" s="63">
        <v>8.6</v>
      </c>
    </row>
    <row r="62" spans="1:4">
      <c r="A62" s="67" t="s">
        <v>163</v>
      </c>
      <c r="B62" s="63">
        <v>0.7</v>
      </c>
      <c r="C62" s="64">
        <v>1.419</v>
      </c>
      <c r="D62" s="63">
        <v>11.1</v>
      </c>
    </row>
    <row r="63" spans="1:4">
      <c r="A63" s="67" t="s">
        <v>164</v>
      </c>
      <c r="B63" s="63">
        <v>0.6</v>
      </c>
      <c r="C63" s="64">
        <v>1.6120000000000001</v>
      </c>
      <c r="D63" s="63">
        <v>18</v>
      </c>
    </row>
    <row r="64" spans="1:4" ht="29.25">
      <c r="A64" s="67" t="s">
        <v>165</v>
      </c>
      <c r="B64" s="63">
        <v>0.9</v>
      </c>
      <c r="C64" s="64">
        <v>1.0629999999999999</v>
      </c>
      <c r="D64" s="63">
        <v>13</v>
      </c>
    </row>
    <row r="65" spans="1:4">
      <c r="A65" s="67" t="s">
        <v>84</v>
      </c>
      <c r="B65" s="63">
        <v>0.9</v>
      </c>
      <c r="C65" s="64">
        <v>1.1439999999999999</v>
      </c>
      <c r="D65" s="63">
        <v>14.5</v>
      </c>
    </row>
    <row r="66" spans="1:4">
      <c r="A66" s="67" t="s">
        <v>85</v>
      </c>
      <c r="B66" s="63">
        <v>0.2</v>
      </c>
      <c r="C66" s="64">
        <v>4.9779999999999998</v>
      </c>
      <c r="D66" s="63">
        <v>36</v>
      </c>
    </row>
    <row r="67" spans="1:4" ht="29.25">
      <c r="A67" s="67" t="s">
        <v>31</v>
      </c>
      <c r="B67" s="63">
        <v>2.2000000000000002</v>
      </c>
      <c r="C67" s="64">
        <v>0.46200000000000002</v>
      </c>
      <c r="D67" s="63">
        <v>6.7</v>
      </c>
    </row>
    <row r="68" spans="1:4" ht="29.25">
      <c r="A68" s="67" t="s">
        <v>32</v>
      </c>
      <c r="B68" s="63">
        <v>1.2</v>
      </c>
      <c r="C68" s="64">
        <v>0.84399999999999997</v>
      </c>
      <c r="D68" s="63">
        <v>9.9</v>
      </c>
    </row>
    <row r="69" spans="1:4" ht="43.5">
      <c r="A69" s="67" t="s">
        <v>86</v>
      </c>
      <c r="B69" s="63">
        <v>0.9</v>
      </c>
      <c r="C69" s="64">
        <v>1.0680000000000001</v>
      </c>
      <c r="D69" s="63">
        <v>13.7</v>
      </c>
    </row>
    <row r="70" spans="1:4">
      <c r="A70" s="67" t="s">
        <v>35</v>
      </c>
      <c r="B70" s="63">
        <v>1.7</v>
      </c>
      <c r="C70" s="64">
        <v>0.57799999999999996</v>
      </c>
      <c r="D70" s="63">
        <v>8.1999999999999993</v>
      </c>
    </row>
    <row r="71" spans="1:4">
      <c r="A71" s="67" t="s">
        <v>87</v>
      </c>
      <c r="B71" s="63">
        <v>4</v>
      </c>
      <c r="C71" s="64">
        <v>0.248</v>
      </c>
      <c r="D71" s="63">
        <v>3.2</v>
      </c>
    </row>
    <row r="72" spans="1:4">
      <c r="A72" s="67" t="s">
        <v>88</v>
      </c>
      <c r="B72" s="63">
        <v>0.5</v>
      </c>
      <c r="C72" s="64">
        <v>2.1749999999999998</v>
      </c>
      <c r="D72" s="63">
        <v>14</v>
      </c>
    </row>
    <row r="73" spans="1:4">
      <c r="A73" s="67" t="s">
        <v>172</v>
      </c>
      <c r="B73" s="63">
        <v>1.6</v>
      </c>
      <c r="C73" s="64">
        <v>0.61699999999999999</v>
      </c>
      <c r="D73" s="63">
        <v>6.3</v>
      </c>
    </row>
    <row r="74" spans="1:4">
      <c r="A74" s="67" t="s">
        <v>89</v>
      </c>
      <c r="B74" s="63">
        <v>1</v>
      </c>
      <c r="C74" s="64">
        <v>1.008</v>
      </c>
      <c r="D74" s="63">
        <v>11.7</v>
      </c>
    </row>
    <row r="75" spans="1:4">
      <c r="A75" s="67" t="s">
        <v>90</v>
      </c>
      <c r="B75" s="63">
        <v>0.5</v>
      </c>
      <c r="C75" s="64">
        <v>2.177</v>
      </c>
      <c r="D75" s="63">
        <v>18.899999999999999</v>
      </c>
    </row>
    <row r="76" spans="1:4" ht="29.25">
      <c r="A76" s="67" t="s">
        <v>91</v>
      </c>
      <c r="B76" s="63">
        <v>0.3</v>
      </c>
      <c r="C76" s="64">
        <v>2.9209999999999998</v>
      </c>
      <c r="D76" s="63">
        <v>31</v>
      </c>
    </row>
    <row r="77" spans="1:4">
      <c r="A77" s="67" t="s">
        <v>36</v>
      </c>
      <c r="B77" s="63">
        <v>0.9</v>
      </c>
      <c r="C77" s="64">
        <v>1.087</v>
      </c>
      <c r="D77" s="63">
        <v>11.8</v>
      </c>
    </row>
    <row r="78" spans="1:4">
      <c r="A78" s="67" t="s">
        <v>37</v>
      </c>
      <c r="B78" s="63">
        <v>1.2</v>
      </c>
      <c r="C78" s="64">
        <v>0.84599999999999997</v>
      </c>
      <c r="D78" s="63">
        <v>11.9</v>
      </c>
    </row>
    <row r="79" spans="1:4" ht="29.25">
      <c r="A79" s="67" t="s">
        <v>92</v>
      </c>
      <c r="B79" s="63">
        <v>2.6</v>
      </c>
      <c r="C79" s="64">
        <v>0.38500000000000001</v>
      </c>
      <c r="D79" s="63">
        <v>4.9000000000000004</v>
      </c>
    </row>
    <row r="80" spans="1:4">
      <c r="A80" s="67" t="s">
        <v>93</v>
      </c>
      <c r="B80" s="63">
        <v>2.7</v>
      </c>
      <c r="C80" s="64">
        <v>0.36799999999999999</v>
      </c>
      <c r="D80" s="63">
        <v>5.0999999999999996</v>
      </c>
    </row>
    <row r="81" spans="1:4">
      <c r="A81" s="67" t="s">
        <v>38</v>
      </c>
      <c r="B81" s="63">
        <v>1</v>
      </c>
      <c r="C81" s="64">
        <v>1.0169999999999999</v>
      </c>
      <c r="D81" s="63">
        <v>11.1</v>
      </c>
    </row>
    <row r="82" spans="1:4">
      <c r="A82" s="67" t="s">
        <v>39</v>
      </c>
      <c r="B82" s="63">
        <v>0.5</v>
      </c>
      <c r="C82" s="64">
        <v>1.994</v>
      </c>
      <c r="D82" s="63">
        <v>16.7</v>
      </c>
    </row>
    <row r="83" spans="1:4" ht="29.25">
      <c r="A83" s="67" t="s">
        <v>40</v>
      </c>
      <c r="B83" s="63">
        <v>4.5999999999999996</v>
      </c>
      <c r="C83" s="64">
        <v>0.218</v>
      </c>
      <c r="D83" s="63">
        <v>2.9</v>
      </c>
    </row>
    <row r="84" spans="1:4">
      <c r="A84" s="67" t="s">
        <v>94</v>
      </c>
      <c r="B84" s="63">
        <v>0.7</v>
      </c>
      <c r="C84" s="64">
        <v>1.536</v>
      </c>
      <c r="D84" s="63">
        <v>17.600000000000001</v>
      </c>
    </row>
    <row r="85" spans="1:4" ht="29.25">
      <c r="A85" s="67" t="s">
        <v>42</v>
      </c>
      <c r="B85" s="63">
        <v>0.9</v>
      </c>
      <c r="C85" s="64">
        <v>1.0900000000000001</v>
      </c>
      <c r="D85" s="63">
        <v>15.7</v>
      </c>
    </row>
    <row r="86" spans="1:4">
      <c r="A86" s="67" t="s">
        <v>95</v>
      </c>
      <c r="B86" s="63">
        <v>1.2</v>
      </c>
      <c r="C86" s="64">
        <v>0.86399999999999999</v>
      </c>
      <c r="D86" s="63">
        <v>13</v>
      </c>
    </row>
    <row r="87" spans="1:4">
      <c r="A87" s="67" t="s">
        <v>96</v>
      </c>
      <c r="B87" s="63">
        <v>1.3</v>
      </c>
      <c r="C87" s="64">
        <v>0.78300000000000003</v>
      </c>
      <c r="D87" s="63">
        <v>12.1</v>
      </c>
    </row>
    <row r="88" spans="1:4" ht="29.25">
      <c r="A88" s="67" t="s">
        <v>43</v>
      </c>
      <c r="B88" s="63">
        <v>2.7</v>
      </c>
      <c r="C88" s="64">
        <v>0.36799999999999999</v>
      </c>
      <c r="D88" s="63">
        <v>3.3</v>
      </c>
    </row>
    <row r="89" spans="1:4" ht="29.25">
      <c r="A89" s="67" t="s">
        <v>44</v>
      </c>
      <c r="B89" s="63">
        <v>0.7</v>
      </c>
      <c r="C89" s="64">
        <v>1.468</v>
      </c>
      <c r="D89" s="63">
        <v>20.3</v>
      </c>
    </row>
    <row r="90" spans="1:4">
      <c r="A90" s="67" t="s">
        <v>45</v>
      </c>
      <c r="B90" s="63">
        <v>2.1</v>
      </c>
      <c r="C90" s="64">
        <v>0.47399999999999998</v>
      </c>
      <c r="D90" s="63">
        <v>7.1</v>
      </c>
    </row>
    <row r="91" spans="1:4">
      <c r="A91" s="67" t="s">
        <v>97</v>
      </c>
      <c r="B91" s="63">
        <v>0.2</v>
      </c>
      <c r="C91" s="64">
        <v>6.0289999999999999</v>
      </c>
      <c r="D91" s="63">
        <v>35.299999999999997</v>
      </c>
    </row>
    <row r="92" spans="1:4">
      <c r="A92" s="67" t="s">
        <v>46</v>
      </c>
      <c r="B92" s="63">
        <v>1.6</v>
      </c>
      <c r="C92" s="64">
        <v>0.64200000000000002</v>
      </c>
      <c r="D92" s="63">
        <v>9.1</v>
      </c>
    </row>
    <row r="93" spans="1:4" ht="29.25">
      <c r="A93" s="67" t="s">
        <v>47</v>
      </c>
      <c r="B93" s="63">
        <v>1.5</v>
      </c>
      <c r="C93" s="64">
        <v>0.68400000000000005</v>
      </c>
      <c r="D93" s="63">
        <v>11</v>
      </c>
    </row>
    <row r="94" spans="1:4">
      <c r="A94" s="67" t="s">
        <v>190</v>
      </c>
      <c r="B94" s="63">
        <v>0.1</v>
      </c>
      <c r="C94" s="64">
        <v>13.066000000000001</v>
      </c>
      <c r="D94" s="63">
        <v>99.5</v>
      </c>
    </row>
    <row r="95" spans="1:4">
      <c r="A95" s="67" t="s">
        <v>98</v>
      </c>
      <c r="B95" s="63">
        <v>0.8</v>
      </c>
      <c r="C95" s="64">
        <v>1.3089999999999999</v>
      </c>
      <c r="D95" s="63">
        <v>22.1</v>
      </c>
    </row>
    <row r="96" spans="1:4">
      <c r="A96" s="67" t="s">
        <v>99</v>
      </c>
      <c r="B96" s="63">
        <v>0.5</v>
      </c>
      <c r="C96" s="64">
        <v>2.1070000000000002</v>
      </c>
      <c r="D96" s="63">
        <v>25.8</v>
      </c>
    </row>
    <row r="97" spans="1:4">
      <c r="A97" s="67" t="s">
        <v>101</v>
      </c>
      <c r="B97" s="63">
        <v>0.7</v>
      </c>
      <c r="C97" s="64">
        <v>1.4059999999999999</v>
      </c>
      <c r="D97" s="63">
        <v>11.8</v>
      </c>
    </row>
    <row r="98" spans="1:4">
      <c r="A98" s="67" t="s">
        <v>48</v>
      </c>
      <c r="B98" s="63">
        <v>0.3</v>
      </c>
      <c r="C98" s="64">
        <v>3.0790000000000002</v>
      </c>
      <c r="D98" s="63">
        <v>13.9</v>
      </c>
    </row>
    <row r="99" spans="1:4">
      <c r="A99" s="67" t="s">
        <v>50</v>
      </c>
      <c r="B99" s="63">
        <v>0.4</v>
      </c>
      <c r="C99" s="64">
        <v>2.3490000000000002</v>
      </c>
      <c r="D99" s="63">
        <v>14.2</v>
      </c>
    </row>
    <row r="100" spans="1:4" ht="43.5">
      <c r="A100" s="67" t="s">
        <v>49</v>
      </c>
      <c r="B100" s="63">
        <v>4.3</v>
      </c>
      <c r="C100" s="64">
        <v>0.23100000000000001</v>
      </c>
      <c r="D100" s="63">
        <v>3.3</v>
      </c>
    </row>
    <row r="101" spans="1:4" ht="29.25">
      <c r="A101" s="67" t="s">
        <v>14</v>
      </c>
      <c r="B101" s="63">
        <v>1.5</v>
      </c>
      <c r="C101" s="64">
        <v>0.65700000000000003</v>
      </c>
      <c r="D101" s="63">
        <v>8.4</v>
      </c>
    </row>
    <row r="102" spans="1:4" ht="29.25">
      <c r="A102" s="67" t="s">
        <v>51</v>
      </c>
      <c r="B102" s="63">
        <v>2.6</v>
      </c>
      <c r="C102" s="64">
        <v>0.38300000000000001</v>
      </c>
      <c r="D102" s="63">
        <v>4.2</v>
      </c>
    </row>
    <row r="103" spans="1:4">
      <c r="A103" s="67" t="s">
        <v>102</v>
      </c>
      <c r="B103" s="63">
        <v>0.9</v>
      </c>
      <c r="C103" s="64">
        <v>1.089</v>
      </c>
      <c r="D103" s="63">
        <v>11.1</v>
      </c>
    </row>
    <row r="104" spans="1:4" ht="29.25">
      <c r="A104" s="67" t="s">
        <v>200</v>
      </c>
      <c r="B104" s="63">
        <v>0.4</v>
      </c>
      <c r="C104" s="64">
        <v>2.8090000000000002</v>
      </c>
      <c r="D104" s="63">
        <v>13.1</v>
      </c>
    </row>
    <row r="105" spans="1:4" ht="29.25">
      <c r="A105" s="67" t="s">
        <v>103</v>
      </c>
      <c r="B105" s="63">
        <v>0.2</v>
      </c>
      <c r="C105" s="64">
        <v>4.1189999999999998</v>
      </c>
      <c r="D105" s="63">
        <v>17.100000000000001</v>
      </c>
    </row>
    <row r="106" spans="1:4">
      <c r="A106" s="67" t="s">
        <v>104</v>
      </c>
      <c r="B106" s="63">
        <v>0.4</v>
      </c>
      <c r="C106" s="64">
        <v>2.8250000000000002</v>
      </c>
      <c r="D106" s="63">
        <v>24.1</v>
      </c>
    </row>
  </sheetData>
  <hyperlinks>
    <hyperlink ref="A2" r:id="rId1" xr:uid="{3C37C3E1-4D14-4A86-8216-2EDC482AB3A6}"/>
    <hyperlink ref="A3" r:id="rId2" xr:uid="{EDAA4E3F-FD45-4E24-9E21-17B6FF7FA9A5}"/>
    <hyperlink ref="A4" r:id="rId3" xr:uid="{1422EB9C-B643-41A9-BDCD-989467FD4A90}"/>
    <hyperlink ref="A5" r:id="rId4" xr:uid="{0E56480C-B00D-4ABF-88D3-F9EAB052D172}"/>
    <hyperlink ref="A6" r:id="rId5" xr:uid="{0CD89B6C-4FCB-4876-965A-69C9B562788C}"/>
    <hyperlink ref="A7" r:id="rId6" xr:uid="{02C27845-6DEC-41E3-AD5D-536A8632297D}"/>
    <hyperlink ref="A8" r:id="rId7" xr:uid="{A6CD9312-9844-4772-B3A9-3AA71825AFFB}"/>
    <hyperlink ref="A9" r:id="rId8" xr:uid="{E67AAB4A-C686-4622-B301-C46BD9E5EC4F}"/>
    <hyperlink ref="A10" r:id="rId9" xr:uid="{C333C470-5E4D-4527-9EF1-73DC1AFDB4D1}"/>
    <hyperlink ref="A11" r:id="rId10" xr:uid="{36C0EE4D-7A70-4887-A7E8-D37F03C6CC72}"/>
    <hyperlink ref="A12" r:id="rId11" xr:uid="{1DE18D70-C940-40E7-A9B0-8930D6A65586}"/>
    <hyperlink ref="A13" r:id="rId12" xr:uid="{91DCF3A6-3942-4764-811A-5229806370BD}"/>
    <hyperlink ref="A14" r:id="rId13" xr:uid="{DF2D96C2-3162-4E08-A847-2C153A5A9094}"/>
    <hyperlink ref="A15" r:id="rId14" xr:uid="{56C2539D-779E-4E68-A5F5-D0B6B3399A30}"/>
    <hyperlink ref="A16" r:id="rId15" xr:uid="{5BAED93D-2937-46CB-A11B-E4D9102E1F06}"/>
    <hyperlink ref="A17" r:id="rId16" xr:uid="{F4DDE56C-0C67-495F-A5D7-536EB4F59577}"/>
    <hyperlink ref="A18" r:id="rId17" xr:uid="{CCE3FD7C-EB5D-4357-9C47-21754A1C9E20}"/>
    <hyperlink ref="A19" r:id="rId18" xr:uid="{6543ADFC-4C5C-4D85-9942-00BB36888A45}"/>
    <hyperlink ref="A20" r:id="rId19" xr:uid="{9EC8F199-FEA9-4D6E-9CD7-DCBC358CBCFD}"/>
    <hyperlink ref="A21" r:id="rId20" xr:uid="{69449950-5BC3-43B6-9E39-B088CA2125C9}"/>
    <hyperlink ref="A22" r:id="rId21" xr:uid="{865673F5-67AB-42B7-BE0F-E8DF67291CD8}"/>
    <hyperlink ref="A23" r:id="rId22" xr:uid="{C5D17767-632B-4233-BD6E-DE03453EB595}"/>
    <hyperlink ref="A24" r:id="rId23" xr:uid="{07D4B699-442A-4EC2-A885-6570EF1479CF}"/>
    <hyperlink ref="A25" r:id="rId24" xr:uid="{73F3C0BD-7980-4A23-B913-52248A0B3155}"/>
    <hyperlink ref="A26" r:id="rId25" xr:uid="{A521FE82-F6F7-422A-A8C5-1FC6DFD0A175}"/>
    <hyperlink ref="A27" r:id="rId26" xr:uid="{AC3FDE97-8B96-4147-99C6-3A15EB5EAFF5}"/>
    <hyperlink ref="A28" r:id="rId27" xr:uid="{6F41C3BB-E1B6-4824-91CC-232DB077421A}"/>
    <hyperlink ref="A29" r:id="rId28" xr:uid="{141BBC27-80AE-420B-B440-5E7F0C5F22DF}"/>
    <hyperlink ref="A30" r:id="rId29" xr:uid="{55D24A8B-3F20-4B62-8D2A-3B72E239E311}"/>
    <hyperlink ref="A31" r:id="rId30" xr:uid="{5F33244B-55D5-477B-9AE5-DEEB823FB78E}"/>
    <hyperlink ref="A32" r:id="rId31" xr:uid="{5CAEBCCA-128B-489B-A31B-E4D94028FB0A}"/>
    <hyperlink ref="A33" r:id="rId32" xr:uid="{07E8A4FD-D5D5-4172-9700-A511B341E11A}"/>
    <hyperlink ref="A34" r:id="rId33" xr:uid="{7406ACA8-804D-430C-AD28-7E2932A13157}"/>
    <hyperlink ref="A35" r:id="rId34" xr:uid="{DFA67416-4D29-4445-A823-FB3502D14DF8}"/>
    <hyperlink ref="A36" r:id="rId35" xr:uid="{F4B4C5B4-7FFD-4244-A44F-1493331A06A7}"/>
    <hyperlink ref="A37" r:id="rId36" xr:uid="{992B54D6-6C7F-48AD-93FD-366789960F53}"/>
    <hyperlink ref="A38" r:id="rId37" xr:uid="{7291495D-ACA0-4968-9DE1-34E85A641128}"/>
    <hyperlink ref="A39" r:id="rId38" xr:uid="{43B10A9B-CB5B-4128-9CD6-861A9B938C18}"/>
    <hyperlink ref="A40" r:id="rId39" xr:uid="{0688AA9C-F2AF-46D0-8AC6-EBC6FDB7A2B2}"/>
    <hyperlink ref="A41" r:id="rId40" xr:uid="{8F8B3BC3-DE0D-4BF4-AE38-F0547D7B688D}"/>
    <hyperlink ref="A42" r:id="rId41" xr:uid="{744024FF-797B-4656-951B-76DB963078FA}"/>
    <hyperlink ref="A43" r:id="rId42" xr:uid="{FFA1D115-A488-4408-B5D1-C6B0FFCF507A}"/>
    <hyperlink ref="A44" r:id="rId43" xr:uid="{8C182736-F2DA-4027-894F-0D9A3544C22C}"/>
    <hyperlink ref="A45" r:id="rId44" xr:uid="{5DE49810-602F-4DB6-B4D9-40BD804E4721}"/>
    <hyperlink ref="A46" r:id="rId45" xr:uid="{088E0B51-7EE4-4787-B68A-6F7F2A566394}"/>
    <hyperlink ref="A47" r:id="rId46" xr:uid="{6BDC1D7D-702C-419A-BF7A-516CA311D178}"/>
    <hyperlink ref="A48" r:id="rId47" xr:uid="{F87697CA-26BA-40DD-86EE-C3F21E90C08A}"/>
    <hyperlink ref="A49" r:id="rId48" xr:uid="{234D7B0B-7CEF-4D15-A41D-40F582A4210A}"/>
    <hyperlink ref="A50" r:id="rId49" xr:uid="{CB0A3863-DCC9-4A68-9CF0-348D7D9CD4CB}"/>
    <hyperlink ref="A51" r:id="rId50" xr:uid="{F2158C54-A704-445A-A6DD-904B6210A9AB}"/>
    <hyperlink ref="A52" r:id="rId51" xr:uid="{A52FB2C1-9BEE-4F1B-9C09-F6F9EC5AED5A}"/>
    <hyperlink ref="A53" r:id="rId52" xr:uid="{18F0E0A3-2B09-4AA2-8ED5-CC00C0AFFFB5}"/>
    <hyperlink ref="A54" r:id="rId53" xr:uid="{3749FA0E-5CE3-4D59-BE33-32725976FBA2}"/>
    <hyperlink ref="A55" r:id="rId54" xr:uid="{DED30D79-B3E3-4031-841D-1BAC558564CD}"/>
    <hyperlink ref="A56" r:id="rId55" xr:uid="{5C4349B6-C872-42F8-B1A7-3E07892CB3EA}"/>
    <hyperlink ref="A57" r:id="rId56" xr:uid="{2B364645-B359-4490-97FA-7549681BF050}"/>
    <hyperlink ref="A58" r:id="rId57" xr:uid="{D918A9AD-F338-433D-A178-282C626BBD83}"/>
    <hyperlink ref="A59" r:id="rId58" xr:uid="{F9A04722-1144-4513-8440-ABA37B2F9119}"/>
    <hyperlink ref="A60" r:id="rId59" xr:uid="{B5BDBCEF-0C18-4C8B-B365-8CF167A17425}"/>
    <hyperlink ref="A61" r:id="rId60" xr:uid="{F98A0DF1-3C0D-4865-8D2B-8BDBB3BA1DA1}"/>
    <hyperlink ref="A62" r:id="rId61" xr:uid="{6FB495BB-21AC-4DAD-9DB0-98B1926CA226}"/>
    <hyperlink ref="A63" r:id="rId62" xr:uid="{52C9D809-99B4-4768-ABAC-87C7AC93069A}"/>
    <hyperlink ref="A64" r:id="rId63" xr:uid="{0F43E949-CB6F-4C5E-A8A9-1357787D6A38}"/>
    <hyperlink ref="A65" r:id="rId64" xr:uid="{64A11B48-F2DE-4951-887C-B96A909B0BBB}"/>
    <hyperlink ref="A66" r:id="rId65" xr:uid="{813B423C-0637-4DEA-83EA-A400ECD97D72}"/>
    <hyperlink ref="A67" r:id="rId66" xr:uid="{9C560537-0276-4650-8BD6-57C8ED77B672}"/>
    <hyperlink ref="A68" r:id="rId67" xr:uid="{A1C0FA56-8840-46C6-9B3F-CF490CAEB006}"/>
    <hyperlink ref="A69" r:id="rId68" xr:uid="{DF8A6A86-851B-49A4-99BB-390D16E00036}"/>
    <hyperlink ref="A70" r:id="rId69" xr:uid="{83A034CD-FA2E-47EB-B8BC-CB478624930B}"/>
    <hyperlink ref="A71" r:id="rId70" xr:uid="{A89ADCC3-E415-4AE2-9C49-E60DE9F35BA7}"/>
    <hyperlink ref="A72" r:id="rId71" xr:uid="{1C159D4A-423D-4209-A5E7-EE92E0F0A09C}"/>
    <hyperlink ref="A73" r:id="rId72" xr:uid="{CD10BE86-437D-4B6E-A8FA-262BEAA42D83}"/>
    <hyperlink ref="A74" r:id="rId73" xr:uid="{8BDB7785-6BBC-40DC-90D4-B57E73D8D967}"/>
    <hyperlink ref="A75" r:id="rId74" xr:uid="{B4005EB7-F7B7-4AB9-9937-5E5543A03F38}"/>
    <hyperlink ref="A76" r:id="rId75" xr:uid="{76B6ACD8-06C9-4B50-8F0A-00C17DF5F2BC}"/>
    <hyperlink ref="A77" r:id="rId76" xr:uid="{B7604C70-A962-469E-9899-6BD66ED88E3F}"/>
    <hyperlink ref="A78" r:id="rId77" xr:uid="{D2075430-CC2D-4AC5-89FF-F29A5A40D05A}"/>
    <hyperlink ref="A79" r:id="rId78" xr:uid="{CD3D9017-640A-48CA-8A19-7CB858846C32}"/>
    <hyperlink ref="A80" r:id="rId79" xr:uid="{28BE2670-7142-4615-8324-0063A1DBA71C}"/>
    <hyperlink ref="A81" r:id="rId80" xr:uid="{FB962437-4C68-4AF0-84CC-48611EEE00F4}"/>
    <hyperlink ref="A82" r:id="rId81" xr:uid="{62C1E2CF-51B1-46FD-86A2-DDAF14655AC8}"/>
    <hyperlink ref="A83" r:id="rId82" xr:uid="{B32EF9B0-B620-4798-9A43-BE1397506314}"/>
    <hyperlink ref="A84" r:id="rId83" xr:uid="{70D84E6C-C932-40E7-BA1A-22A94CCD4AC4}"/>
    <hyperlink ref="A85" r:id="rId84" xr:uid="{2F341A02-869D-43AC-9202-8C8C8E627F99}"/>
    <hyperlink ref="A86" r:id="rId85" xr:uid="{99E5A327-E4A3-4269-97B1-ABDEB74C4632}"/>
    <hyperlink ref="A87" r:id="rId86" xr:uid="{680E6ABF-6C6B-465C-91AC-994C3E81FE8D}"/>
    <hyperlink ref="A88" r:id="rId87" xr:uid="{341CF49B-9E82-4533-AE24-6BAEBE3038A7}"/>
    <hyperlink ref="A89" r:id="rId88" xr:uid="{C1C804DB-2FAA-4800-89EA-446B3612B843}"/>
    <hyperlink ref="A90" r:id="rId89" xr:uid="{5D409E50-3186-4A31-8ADE-17D32D1328BD}"/>
    <hyperlink ref="A91" r:id="rId90" xr:uid="{11673CC0-85B7-4102-8E1C-977BAADEBCF0}"/>
    <hyperlink ref="A92" r:id="rId91" xr:uid="{D2FE5431-BB61-4874-8D5E-1458436E2BC0}"/>
    <hyperlink ref="A93" r:id="rId92" xr:uid="{D050B926-3628-477D-A936-C46E7EF7D88E}"/>
    <hyperlink ref="A94" r:id="rId93" xr:uid="{8A5B8A93-53D1-47ED-9E6D-FF9DF8C4E3AB}"/>
    <hyperlink ref="A95" r:id="rId94" xr:uid="{785DC5A3-8F1B-4751-BA14-12248C86DD7F}"/>
    <hyperlink ref="A96" r:id="rId95" xr:uid="{BA4393B6-04CC-4E24-B580-FDEE3A0F57A4}"/>
    <hyperlink ref="A97" r:id="rId96" xr:uid="{4033A815-DF51-439A-9EBB-4785817B5F16}"/>
    <hyperlink ref="A98" r:id="rId97" xr:uid="{FCF449FD-4852-4B79-B887-C4604E838121}"/>
    <hyperlink ref="A99" r:id="rId98" xr:uid="{E5C543AA-6609-4EF1-A604-10402F22AEA3}"/>
    <hyperlink ref="A100" r:id="rId99" xr:uid="{46CCDDED-E58A-4450-B298-42D9879D6E6F}"/>
    <hyperlink ref="A101" r:id="rId100" xr:uid="{3C7E4786-013F-471C-BCB8-E6B5D757CDDD}"/>
    <hyperlink ref="A102" r:id="rId101" xr:uid="{E33F6611-7E77-4658-98CA-3256559EE0AF}"/>
    <hyperlink ref="A103" r:id="rId102" xr:uid="{19282CE6-2F82-472A-AF40-61DBA2288677}"/>
    <hyperlink ref="A104" r:id="rId103" xr:uid="{55FA22D9-3B9F-4256-AF4D-02D96AC44608}"/>
    <hyperlink ref="A105" r:id="rId104" xr:uid="{4DEADBD4-7367-44E7-AC2D-27114CC6F17F}"/>
    <hyperlink ref="A106" r:id="rId105" xr:uid="{246342AE-0C02-4456-BC17-EE3651ED2B23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F0CF-653D-424A-9166-3BE6F2C62D11}">
  <dimension ref="A1:C198"/>
  <sheetViews>
    <sheetView topLeftCell="S137" workbookViewId="0">
      <selection activeCell="A161" sqref="A161"/>
    </sheetView>
  </sheetViews>
  <sheetFormatPr defaultRowHeight="15"/>
  <sheetData>
    <row r="1" spans="1:3">
      <c r="A1" s="44" t="s">
        <v>0</v>
      </c>
      <c r="B1" s="44" t="s">
        <v>429</v>
      </c>
      <c r="C1" s="44"/>
    </row>
    <row r="2" spans="1:3">
      <c r="A2" s="54" t="s">
        <v>13</v>
      </c>
      <c r="B2" s="55">
        <v>90</v>
      </c>
      <c r="C2" s="44"/>
    </row>
    <row r="3" spans="1:3">
      <c r="A3" s="54" t="s">
        <v>15</v>
      </c>
      <c r="B3" s="55">
        <v>87</v>
      </c>
      <c r="C3" s="44"/>
    </row>
    <row r="4" spans="1:3">
      <c r="A4" s="54" t="s">
        <v>32</v>
      </c>
      <c r="B4" s="55">
        <v>85</v>
      </c>
      <c r="C4" s="44"/>
    </row>
    <row r="5" spans="1:3">
      <c r="A5" s="54" t="s">
        <v>35</v>
      </c>
      <c r="B5" s="55">
        <v>84</v>
      </c>
      <c r="C5" s="44"/>
    </row>
    <row r="6" spans="1:3">
      <c r="A6" s="54" t="s">
        <v>42</v>
      </c>
      <c r="B6" s="55">
        <v>83</v>
      </c>
      <c r="C6" s="44"/>
    </row>
    <row r="7" spans="1:3">
      <c r="A7" s="54" t="s">
        <v>46</v>
      </c>
      <c r="B7" s="55">
        <v>82</v>
      </c>
      <c r="C7" s="44"/>
    </row>
    <row r="8" spans="1:3">
      <c r="A8" s="54" t="s">
        <v>47</v>
      </c>
      <c r="B8" s="55">
        <v>82</v>
      </c>
      <c r="C8" s="44"/>
    </row>
    <row r="9" spans="1:3">
      <c r="A9" s="54" t="s">
        <v>31</v>
      </c>
      <c r="B9" s="55">
        <v>79</v>
      </c>
      <c r="C9" s="44"/>
    </row>
    <row r="10" spans="1:3">
      <c r="A10" s="54" t="s">
        <v>17</v>
      </c>
      <c r="B10" s="55">
        <v>78</v>
      </c>
      <c r="C10" s="44"/>
    </row>
    <row r="11" spans="1:3">
      <c r="A11" s="54" t="s">
        <v>82</v>
      </c>
      <c r="B11" s="55">
        <v>78</v>
      </c>
      <c r="C11" s="44"/>
    </row>
    <row r="12" spans="1:3">
      <c r="A12" s="54" t="s">
        <v>23</v>
      </c>
      <c r="B12" s="55">
        <v>77</v>
      </c>
      <c r="C12" s="44"/>
    </row>
    <row r="13" spans="1:3">
      <c r="A13" s="54" t="s">
        <v>9</v>
      </c>
      <c r="B13" s="55">
        <v>76</v>
      </c>
      <c r="C13" s="44"/>
    </row>
    <row r="14" spans="1:3">
      <c r="A14" s="54" t="s">
        <v>69</v>
      </c>
      <c r="B14" s="55">
        <v>76</v>
      </c>
      <c r="C14" s="44"/>
    </row>
    <row r="15" spans="1:3">
      <c r="A15" s="54" t="s">
        <v>4</v>
      </c>
      <c r="B15" s="55">
        <v>75</v>
      </c>
      <c r="C15" s="44"/>
    </row>
    <row r="16" spans="1:3">
      <c r="A16" s="54" t="s">
        <v>19</v>
      </c>
      <c r="B16" s="55">
        <v>75</v>
      </c>
      <c r="C16" s="44"/>
    </row>
    <row r="17" spans="1:3">
      <c r="A17" s="54" t="s">
        <v>6</v>
      </c>
      <c r="B17" s="55">
        <v>73</v>
      </c>
      <c r="C17" s="44"/>
    </row>
    <row r="18" spans="1:3">
      <c r="A18" s="54" t="s">
        <v>27</v>
      </c>
      <c r="B18" s="55">
        <v>73</v>
      </c>
      <c r="C18" s="44"/>
    </row>
    <row r="19" spans="1:3">
      <c r="A19" s="54" t="s">
        <v>102</v>
      </c>
      <c r="B19" s="55">
        <v>73</v>
      </c>
      <c r="C19" s="44"/>
    </row>
    <row r="20" spans="1:3">
      <c r="A20" s="54" t="s">
        <v>20</v>
      </c>
      <c r="B20" s="55">
        <v>72</v>
      </c>
      <c r="C20" s="44"/>
    </row>
    <row r="21" spans="1:3">
      <c r="A21" s="54" t="s">
        <v>5</v>
      </c>
      <c r="B21" s="55">
        <v>71</v>
      </c>
      <c r="C21" s="44"/>
    </row>
    <row r="22" spans="1:3">
      <c r="A22" s="54" t="s">
        <v>16</v>
      </c>
      <c r="B22" s="55">
        <v>71</v>
      </c>
      <c r="C22" s="44"/>
    </row>
    <row r="23" spans="1:3">
      <c r="A23" s="54" t="s">
        <v>184</v>
      </c>
      <c r="B23" s="55">
        <v>71</v>
      </c>
      <c r="C23" s="44"/>
    </row>
    <row r="24" spans="1:3">
      <c r="A24" s="54" t="s">
        <v>14</v>
      </c>
      <c r="B24" s="55">
        <v>71</v>
      </c>
      <c r="C24" s="44"/>
    </row>
    <row r="25" spans="1:3">
      <c r="A25" s="54" t="s">
        <v>113</v>
      </c>
      <c r="B25" s="55">
        <v>69</v>
      </c>
      <c r="C25" s="44"/>
    </row>
    <row r="26" spans="1:3">
      <c r="A26" s="54" t="s">
        <v>51</v>
      </c>
      <c r="B26" s="55">
        <v>69</v>
      </c>
      <c r="C26" s="44"/>
    </row>
    <row r="27" spans="1:3">
      <c r="A27" s="54" t="s">
        <v>116</v>
      </c>
      <c r="B27" s="55">
        <v>68</v>
      </c>
      <c r="C27" s="44"/>
    </row>
    <row r="28" spans="1:3">
      <c r="A28" s="54" t="s">
        <v>49</v>
      </c>
      <c r="B28" s="55">
        <v>68</v>
      </c>
      <c r="C28" s="44"/>
    </row>
    <row r="29" spans="1:3">
      <c r="A29" s="54" t="s">
        <v>98</v>
      </c>
      <c r="B29" s="55">
        <v>67</v>
      </c>
      <c r="C29" s="44"/>
    </row>
    <row r="30" spans="1:3">
      <c r="A30" s="54" t="s">
        <v>10</v>
      </c>
      <c r="B30" s="55">
        <v>66</v>
      </c>
      <c r="C30" s="44"/>
    </row>
    <row r="31" spans="1:3">
      <c r="A31" s="54" t="s">
        <v>111</v>
      </c>
      <c r="B31" s="55">
        <v>64</v>
      </c>
      <c r="C31" s="44"/>
    </row>
    <row r="32" spans="1:3">
      <c r="A32" s="54" t="s">
        <v>401</v>
      </c>
      <c r="B32" s="55">
        <v>64</v>
      </c>
      <c r="C32" s="44"/>
    </row>
    <row r="33" spans="1:3">
      <c r="A33" s="54" t="s">
        <v>44</v>
      </c>
      <c r="B33" s="55">
        <v>63</v>
      </c>
      <c r="C33" s="44"/>
    </row>
    <row r="34" spans="1:3">
      <c r="A34" s="54" t="s">
        <v>24</v>
      </c>
      <c r="B34" s="55">
        <v>62</v>
      </c>
      <c r="C34" s="44"/>
    </row>
    <row r="35" spans="1:3">
      <c r="A35" s="54" t="s">
        <v>28</v>
      </c>
      <c r="B35" s="55">
        <v>61</v>
      </c>
      <c r="C35" s="44"/>
    </row>
    <row r="36" spans="1:3">
      <c r="A36" s="54" t="s">
        <v>37</v>
      </c>
      <c r="B36" s="55">
        <v>61</v>
      </c>
      <c r="C36" s="44"/>
    </row>
    <row r="37" spans="1:3">
      <c r="A37" s="54" t="s">
        <v>80</v>
      </c>
      <c r="B37" s="55">
        <v>60</v>
      </c>
      <c r="C37" s="44"/>
    </row>
    <row r="38" spans="1:3">
      <c r="A38" s="54" t="s">
        <v>179</v>
      </c>
      <c r="B38" s="55">
        <v>60</v>
      </c>
      <c r="C38" s="44"/>
    </row>
    <row r="39" spans="1:3">
      <c r="A39" s="54" t="s">
        <v>45</v>
      </c>
      <c r="B39" s="55">
        <v>60</v>
      </c>
      <c r="C39" s="44"/>
    </row>
    <row r="40" spans="1:3">
      <c r="A40" s="54" t="s">
        <v>119</v>
      </c>
      <c r="B40" s="55">
        <v>59</v>
      </c>
      <c r="C40" s="44"/>
    </row>
    <row r="41" spans="1:3">
      <c r="A41" s="54" t="s">
        <v>93</v>
      </c>
      <c r="B41" s="55">
        <v>58</v>
      </c>
      <c r="C41" s="44"/>
    </row>
    <row r="42" spans="1:3">
      <c r="A42" s="54" t="s">
        <v>12</v>
      </c>
      <c r="B42" s="55">
        <v>57</v>
      </c>
      <c r="C42" s="44"/>
    </row>
    <row r="43" spans="1:3">
      <c r="A43" s="54" t="s">
        <v>131</v>
      </c>
      <c r="B43" s="55">
        <v>56</v>
      </c>
      <c r="C43" s="44"/>
    </row>
    <row r="44" spans="1:3">
      <c r="A44" s="54" t="s">
        <v>25</v>
      </c>
      <c r="B44" s="55">
        <v>56</v>
      </c>
      <c r="C44" s="44"/>
    </row>
    <row r="45" spans="1:3">
      <c r="A45" s="54" t="s">
        <v>96</v>
      </c>
      <c r="B45" s="55">
        <v>56</v>
      </c>
      <c r="C45" s="44"/>
    </row>
    <row r="46" spans="1:3">
      <c r="A46" s="54" t="s">
        <v>62</v>
      </c>
      <c r="B46" s="55">
        <v>55</v>
      </c>
      <c r="C46" s="44"/>
    </row>
    <row r="47" spans="1:3">
      <c r="A47" s="54" t="s">
        <v>178</v>
      </c>
      <c r="B47" s="55">
        <v>55</v>
      </c>
      <c r="C47" s="44"/>
    </row>
    <row r="48" spans="1:3">
      <c r="A48" s="54" t="s">
        <v>36</v>
      </c>
      <c r="B48" s="55">
        <v>54</v>
      </c>
      <c r="C48" s="44"/>
    </row>
    <row r="49" spans="1:3">
      <c r="A49" s="54" t="s">
        <v>95</v>
      </c>
      <c r="B49" s="55">
        <v>54</v>
      </c>
      <c r="C49" s="44"/>
    </row>
    <row r="50" spans="1:3">
      <c r="A50" s="54" t="s">
        <v>64</v>
      </c>
      <c r="B50" s="55">
        <v>53</v>
      </c>
      <c r="C50" s="44"/>
    </row>
    <row r="51" spans="1:3">
      <c r="A51" s="54" t="s">
        <v>70</v>
      </c>
      <c r="B51" s="55">
        <v>53</v>
      </c>
      <c r="C51" s="44"/>
    </row>
    <row r="52" spans="1:3">
      <c r="A52" s="54" t="s">
        <v>142</v>
      </c>
      <c r="B52" s="55">
        <v>53</v>
      </c>
      <c r="C52" s="44"/>
    </row>
    <row r="53" spans="1:3">
      <c r="A53" s="54" t="s">
        <v>176</v>
      </c>
      <c r="B53" s="55">
        <v>53</v>
      </c>
      <c r="C53" s="44"/>
    </row>
    <row r="54" spans="1:3">
      <c r="A54" s="54" t="s">
        <v>138</v>
      </c>
      <c r="B54" s="55">
        <v>52</v>
      </c>
      <c r="C54" s="44"/>
    </row>
    <row r="55" spans="1:3">
      <c r="A55" s="54" t="s">
        <v>40</v>
      </c>
      <c r="B55" s="55">
        <v>52</v>
      </c>
      <c r="C55" s="44"/>
    </row>
    <row r="56" spans="1:3">
      <c r="A56" s="54" t="s">
        <v>83</v>
      </c>
      <c r="B56" s="55">
        <v>51</v>
      </c>
      <c r="C56" s="44"/>
    </row>
    <row r="57" spans="1:3">
      <c r="A57" s="54" t="s">
        <v>162</v>
      </c>
      <c r="B57" s="55">
        <v>51</v>
      </c>
      <c r="C57" s="44"/>
    </row>
    <row r="58" spans="1:3">
      <c r="A58" s="54" t="s">
        <v>63</v>
      </c>
      <c r="B58" s="55">
        <v>50</v>
      </c>
      <c r="C58" s="44"/>
    </row>
    <row r="59" spans="1:3">
      <c r="A59" s="54" t="s">
        <v>29</v>
      </c>
      <c r="B59" s="55">
        <v>50</v>
      </c>
      <c r="C59" s="44"/>
    </row>
    <row r="60" spans="1:3">
      <c r="A60" s="54" t="s">
        <v>18</v>
      </c>
      <c r="B60" s="55">
        <v>49</v>
      </c>
      <c r="C60" s="44"/>
    </row>
    <row r="61" spans="1:3">
      <c r="A61" s="54" t="s">
        <v>168</v>
      </c>
      <c r="B61" s="55">
        <v>49</v>
      </c>
      <c r="C61" s="44"/>
    </row>
    <row r="62" spans="1:3">
      <c r="A62" s="54" t="s">
        <v>201</v>
      </c>
      <c r="B62" s="55">
        <v>48</v>
      </c>
      <c r="C62" s="44"/>
    </row>
    <row r="63" spans="1:3">
      <c r="A63" s="54" t="s">
        <v>110</v>
      </c>
      <c r="B63" s="55">
        <v>47</v>
      </c>
      <c r="C63" s="44"/>
    </row>
    <row r="64" spans="1:3">
      <c r="A64" s="54" t="s">
        <v>76</v>
      </c>
      <c r="B64" s="55">
        <v>46</v>
      </c>
      <c r="C64" s="44"/>
    </row>
    <row r="65" spans="1:3">
      <c r="A65" s="54" t="s">
        <v>79</v>
      </c>
      <c r="B65" s="55">
        <v>46</v>
      </c>
      <c r="C65" s="44"/>
    </row>
    <row r="66" spans="1:3">
      <c r="A66" s="54" t="s">
        <v>165</v>
      </c>
      <c r="B66" s="55">
        <v>46</v>
      </c>
      <c r="C66" s="44"/>
    </row>
    <row r="67" spans="1:3">
      <c r="A67" s="54" t="s">
        <v>38</v>
      </c>
      <c r="B67" s="55">
        <v>46</v>
      </c>
      <c r="C67" s="44"/>
    </row>
    <row r="68" spans="1:3">
      <c r="A68" s="54" t="s">
        <v>8</v>
      </c>
      <c r="B68" s="55">
        <v>45</v>
      </c>
      <c r="C68" s="44"/>
    </row>
    <row r="69" spans="1:3">
      <c r="A69" s="54" t="s">
        <v>182</v>
      </c>
      <c r="B69" s="55">
        <v>45</v>
      </c>
      <c r="C69" s="44"/>
    </row>
    <row r="70" spans="1:3">
      <c r="A70" s="54" t="s">
        <v>26</v>
      </c>
      <c r="B70" s="55">
        <v>44</v>
      </c>
      <c r="C70" s="44"/>
    </row>
    <row r="71" spans="1:3">
      <c r="A71" s="54" t="s">
        <v>115</v>
      </c>
      <c r="B71" s="55">
        <v>43</v>
      </c>
      <c r="C71" s="44"/>
    </row>
    <row r="72" spans="1:3">
      <c r="A72" s="54" t="s">
        <v>141</v>
      </c>
      <c r="B72" s="55">
        <v>43</v>
      </c>
      <c r="C72" s="44"/>
    </row>
    <row r="73" spans="1:3">
      <c r="A73" s="54" t="s">
        <v>87</v>
      </c>
      <c r="B73" s="55">
        <v>43</v>
      </c>
      <c r="C73" s="44"/>
    </row>
    <row r="74" spans="1:3">
      <c r="A74" s="54" t="s">
        <v>183</v>
      </c>
      <c r="B74" s="55">
        <v>43</v>
      </c>
      <c r="C74" s="44"/>
    </row>
    <row r="75" spans="1:3">
      <c r="A75" s="54" t="s">
        <v>186</v>
      </c>
      <c r="B75" s="55">
        <v>43</v>
      </c>
      <c r="C75" s="44"/>
    </row>
    <row r="76" spans="1:3">
      <c r="A76" s="54" t="s">
        <v>238</v>
      </c>
      <c r="B76" s="55">
        <v>43</v>
      </c>
      <c r="C76" s="44"/>
    </row>
    <row r="77" spans="1:3">
      <c r="A77" s="54" t="s">
        <v>112</v>
      </c>
      <c r="B77" s="55">
        <v>42</v>
      </c>
      <c r="C77" s="44"/>
    </row>
    <row r="78" spans="1:3">
      <c r="A78" s="54" t="s">
        <v>11</v>
      </c>
      <c r="B78" s="55">
        <v>42</v>
      </c>
      <c r="C78" s="44"/>
    </row>
    <row r="79" spans="1:3">
      <c r="A79" s="54" t="s">
        <v>129</v>
      </c>
      <c r="B79" s="55">
        <v>42</v>
      </c>
      <c r="C79" s="44"/>
    </row>
    <row r="80" spans="1:3">
      <c r="A80" s="54" t="s">
        <v>73</v>
      </c>
      <c r="B80" s="55">
        <v>42</v>
      </c>
      <c r="C80" s="44"/>
    </row>
    <row r="81" spans="1:3">
      <c r="A81" s="54" t="s">
        <v>163</v>
      </c>
      <c r="B81" s="55">
        <v>42</v>
      </c>
      <c r="C81" s="44"/>
    </row>
    <row r="82" spans="1:3">
      <c r="A82" s="54" t="s">
        <v>86</v>
      </c>
      <c r="B82" s="55">
        <v>42</v>
      </c>
      <c r="C82" s="44"/>
    </row>
    <row r="83" spans="1:3">
      <c r="A83" s="54" t="s">
        <v>196</v>
      </c>
      <c r="B83" s="55">
        <v>42</v>
      </c>
      <c r="C83" s="44"/>
    </row>
    <row r="84" spans="1:3">
      <c r="A84" s="54" t="s">
        <v>121</v>
      </c>
      <c r="B84" s="55">
        <v>41</v>
      </c>
      <c r="C84" s="44"/>
    </row>
    <row r="85" spans="1:3">
      <c r="A85" s="54" t="s">
        <v>225</v>
      </c>
      <c r="B85" s="55">
        <v>41</v>
      </c>
      <c r="C85" s="44"/>
    </row>
    <row r="86" spans="1:3">
      <c r="A86" s="54" t="s">
        <v>43</v>
      </c>
      <c r="B86" s="55">
        <v>41</v>
      </c>
      <c r="C86" s="44"/>
    </row>
    <row r="87" spans="1:3">
      <c r="A87" s="54" t="s">
        <v>104</v>
      </c>
      <c r="B87" s="55">
        <v>41</v>
      </c>
      <c r="C87" s="44"/>
    </row>
    <row r="88" spans="1:3">
      <c r="A88" s="54" t="s">
        <v>61</v>
      </c>
      <c r="B88" s="55">
        <v>40</v>
      </c>
      <c r="C88" s="44"/>
    </row>
    <row r="89" spans="1:3">
      <c r="A89" s="54" t="s">
        <v>322</v>
      </c>
      <c r="B89" s="55">
        <v>40</v>
      </c>
      <c r="C89" s="44"/>
    </row>
    <row r="90" spans="1:3">
      <c r="A90" s="54" t="s">
        <v>145</v>
      </c>
      <c r="B90" s="55">
        <v>40</v>
      </c>
      <c r="C90" s="44"/>
    </row>
    <row r="91" spans="1:3">
      <c r="A91" s="54" t="s">
        <v>189</v>
      </c>
      <c r="B91" s="55">
        <v>40</v>
      </c>
      <c r="C91" s="44"/>
    </row>
    <row r="92" spans="1:3">
      <c r="A92" s="54" t="s">
        <v>192</v>
      </c>
      <c r="B92" s="55">
        <v>40</v>
      </c>
      <c r="C92" s="44"/>
    </row>
    <row r="93" spans="1:3">
      <c r="A93" s="54" t="s">
        <v>101</v>
      </c>
      <c r="B93" s="55">
        <v>40</v>
      </c>
      <c r="C93" s="44"/>
    </row>
    <row r="94" spans="1:3">
      <c r="A94" s="54" t="s">
        <v>21</v>
      </c>
      <c r="B94" s="55">
        <v>39</v>
      </c>
      <c r="C94" s="44"/>
    </row>
    <row r="95" spans="1:3">
      <c r="A95" s="54" t="s">
        <v>77</v>
      </c>
      <c r="B95" s="55">
        <v>39</v>
      </c>
      <c r="C95" s="44"/>
    </row>
    <row r="96" spans="1:3">
      <c r="A96" s="54" t="s">
        <v>152</v>
      </c>
      <c r="B96" s="55">
        <v>39</v>
      </c>
      <c r="C96" s="44"/>
    </row>
    <row r="97" spans="1:3">
      <c r="A97" s="54" t="s">
        <v>158</v>
      </c>
      <c r="B97" s="55">
        <v>39</v>
      </c>
      <c r="C97" s="44"/>
    </row>
    <row r="98" spans="1:3">
      <c r="A98" s="54" t="s">
        <v>84</v>
      </c>
      <c r="B98" s="55">
        <v>38</v>
      </c>
      <c r="C98" s="44"/>
    </row>
    <row r="99" spans="1:3">
      <c r="A99" s="54" t="s">
        <v>55</v>
      </c>
      <c r="B99" s="55">
        <v>37</v>
      </c>
      <c r="C99" s="44"/>
    </row>
    <row r="100" spans="1:3">
      <c r="A100" s="54" t="s">
        <v>3</v>
      </c>
      <c r="B100" s="55">
        <v>37</v>
      </c>
      <c r="C100" s="44"/>
    </row>
    <row r="101" spans="1:3">
      <c r="A101" s="54" t="s">
        <v>59</v>
      </c>
      <c r="B101" s="55">
        <v>37</v>
      </c>
      <c r="C101" s="44"/>
    </row>
    <row r="102" spans="1:3">
      <c r="A102" s="54" t="s">
        <v>137</v>
      </c>
      <c r="B102" s="55">
        <v>37</v>
      </c>
      <c r="C102" s="44"/>
    </row>
    <row r="103" spans="1:3">
      <c r="A103" s="54" t="s">
        <v>140</v>
      </c>
      <c r="B103" s="55">
        <v>37</v>
      </c>
      <c r="C103" s="44"/>
    </row>
    <row r="104" spans="1:3">
      <c r="A104" s="54" t="s">
        <v>203</v>
      </c>
      <c r="B104" s="55">
        <v>37</v>
      </c>
      <c r="C104" s="44"/>
    </row>
    <row r="105" spans="1:3">
      <c r="A105" s="54" t="s">
        <v>56</v>
      </c>
      <c r="B105" s="55">
        <v>36</v>
      </c>
      <c r="C105" s="44"/>
    </row>
    <row r="106" spans="1:3">
      <c r="A106" s="54" t="s">
        <v>7</v>
      </c>
      <c r="B106" s="55">
        <v>36</v>
      </c>
      <c r="C106" s="44"/>
    </row>
    <row r="107" spans="1:3">
      <c r="A107" s="54" t="s">
        <v>94</v>
      </c>
      <c r="B107" s="55">
        <v>36</v>
      </c>
      <c r="C107" s="44"/>
    </row>
    <row r="108" spans="1:3">
      <c r="A108" s="54" t="s">
        <v>50</v>
      </c>
      <c r="B108" s="55">
        <v>36</v>
      </c>
      <c r="C108" s="44"/>
    </row>
    <row r="109" spans="1:3">
      <c r="A109" s="54" t="s">
        <v>118</v>
      </c>
      <c r="B109" s="55">
        <v>35</v>
      </c>
      <c r="C109" s="44"/>
    </row>
    <row r="110" spans="1:3">
      <c r="A110" s="54" t="s">
        <v>66</v>
      </c>
      <c r="B110" s="55">
        <v>35</v>
      </c>
      <c r="C110" s="44"/>
    </row>
    <row r="111" spans="1:3">
      <c r="A111" s="54" t="s">
        <v>68</v>
      </c>
      <c r="B111" s="55">
        <v>35</v>
      </c>
      <c r="C111" s="44"/>
    </row>
    <row r="112" spans="1:3">
      <c r="A112" s="54" t="s">
        <v>85</v>
      </c>
      <c r="B112" s="55">
        <v>35</v>
      </c>
      <c r="C112" s="44"/>
    </row>
    <row r="113" spans="1:3">
      <c r="A113" s="54" t="s">
        <v>89</v>
      </c>
      <c r="B113" s="55">
        <v>35</v>
      </c>
      <c r="C113" s="44"/>
    </row>
    <row r="114" spans="1:3">
      <c r="A114" s="54" t="s">
        <v>185</v>
      </c>
      <c r="B114" s="55">
        <v>35</v>
      </c>
      <c r="C114" s="44"/>
    </row>
    <row r="115" spans="1:3">
      <c r="A115" s="54" t="s">
        <v>99</v>
      </c>
      <c r="B115" s="55">
        <v>35</v>
      </c>
      <c r="C115" s="44"/>
    </row>
    <row r="116" spans="1:3">
      <c r="A116" s="54" t="s">
        <v>67</v>
      </c>
      <c r="B116" s="55">
        <v>34</v>
      </c>
      <c r="C116" s="44"/>
    </row>
    <row r="117" spans="1:3">
      <c r="A117" s="54" t="s">
        <v>22</v>
      </c>
      <c r="B117" s="55">
        <v>34</v>
      </c>
      <c r="C117" s="44"/>
    </row>
    <row r="118" spans="1:3">
      <c r="A118" s="54" t="s">
        <v>157</v>
      </c>
      <c r="B118" s="55">
        <v>34</v>
      </c>
      <c r="C118" s="44"/>
    </row>
    <row r="119" spans="1:3">
      <c r="A119" s="54" t="s">
        <v>91</v>
      </c>
      <c r="B119" s="55">
        <v>34</v>
      </c>
      <c r="C119" s="44"/>
    </row>
    <row r="120" spans="1:3">
      <c r="A120" s="54" t="s">
        <v>97</v>
      </c>
      <c r="B120" s="55">
        <v>34</v>
      </c>
      <c r="C120" s="44"/>
    </row>
    <row r="121" spans="1:3">
      <c r="A121" s="54" t="s">
        <v>48</v>
      </c>
      <c r="B121" s="55">
        <v>34</v>
      </c>
      <c r="C121" s="44"/>
    </row>
    <row r="122" spans="1:3">
      <c r="A122" s="54" t="s">
        <v>108</v>
      </c>
      <c r="B122" s="55">
        <v>33</v>
      </c>
      <c r="C122" s="44"/>
    </row>
    <row r="123" spans="1:3">
      <c r="A123" s="54" t="s">
        <v>164</v>
      </c>
      <c r="B123" s="55">
        <v>33</v>
      </c>
      <c r="C123" s="44"/>
    </row>
    <row r="124" spans="1:3">
      <c r="A124" s="54" t="s">
        <v>90</v>
      </c>
      <c r="B124" s="55">
        <v>33</v>
      </c>
      <c r="C124" s="44"/>
    </row>
    <row r="125" spans="1:3">
      <c r="A125" s="54" t="s">
        <v>200</v>
      </c>
      <c r="B125" s="55">
        <v>33</v>
      </c>
      <c r="C125" s="44"/>
    </row>
    <row r="126" spans="1:3">
      <c r="A126" s="54" t="s">
        <v>170</v>
      </c>
      <c r="B126" s="55">
        <v>32</v>
      </c>
      <c r="C126" s="44"/>
    </row>
    <row r="127" spans="1:3">
      <c r="A127" s="54" t="s">
        <v>133</v>
      </c>
      <c r="B127" s="55">
        <v>31</v>
      </c>
      <c r="C127" s="44"/>
    </row>
    <row r="128" spans="1:3">
      <c r="A128" s="54" t="s">
        <v>78</v>
      </c>
      <c r="B128" s="55">
        <v>31</v>
      </c>
      <c r="C128" s="44"/>
    </row>
    <row r="129" spans="1:3">
      <c r="A129" s="54" t="s">
        <v>30</v>
      </c>
      <c r="B129" s="55">
        <v>31</v>
      </c>
      <c r="C129" s="44"/>
    </row>
    <row r="130" spans="1:3">
      <c r="A130" s="54" t="s">
        <v>194</v>
      </c>
      <c r="B130" s="55">
        <v>31</v>
      </c>
      <c r="C130" s="44"/>
    </row>
    <row r="131" spans="1:3">
      <c r="A131" s="54" t="s">
        <v>130</v>
      </c>
      <c r="B131" s="55">
        <v>30</v>
      </c>
      <c r="C131" s="44"/>
    </row>
    <row r="132" spans="1:3">
      <c r="A132" s="54" t="s">
        <v>136</v>
      </c>
      <c r="B132" s="55">
        <v>30</v>
      </c>
      <c r="C132" s="44"/>
    </row>
    <row r="133" spans="1:3">
      <c r="A133" s="54" t="s">
        <v>161</v>
      </c>
      <c r="B133" s="55">
        <v>30</v>
      </c>
      <c r="C133" s="44"/>
    </row>
    <row r="134" spans="1:3">
      <c r="A134" s="54" t="s">
        <v>117</v>
      </c>
      <c r="B134" s="55">
        <v>29</v>
      </c>
      <c r="C134" s="44"/>
    </row>
    <row r="135" spans="1:3">
      <c r="A135" s="54" t="s">
        <v>88</v>
      </c>
      <c r="B135" s="55">
        <v>29</v>
      </c>
      <c r="C135" s="44"/>
    </row>
    <row r="136" spans="1:3">
      <c r="A136" s="54" t="s">
        <v>173</v>
      </c>
      <c r="B136" s="55">
        <v>29</v>
      </c>
      <c r="C136" s="44"/>
    </row>
    <row r="137" spans="1:3">
      <c r="A137" s="54" t="s">
        <v>139</v>
      </c>
      <c r="B137" s="55">
        <v>28</v>
      </c>
      <c r="C137" s="44"/>
    </row>
    <row r="138" spans="1:3">
      <c r="A138" s="54" t="s">
        <v>151</v>
      </c>
      <c r="B138" s="55">
        <v>28</v>
      </c>
      <c r="C138" s="44"/>
    </row>
    <row r="139" spans="1:3">
      <c r="A139" s="54" t="s">
        <v>159</v>
      </c>
      <c r="B139" s="55">
        <v>28</v>
      </c>
      <c r="C139" s="44"/>
    </row>
    <row r="140" spans="1:3">
      <c r="A140" s="54" t="s">
        <v>174</v>
      </c>
      <c r="B140" s="55">
        <v>28</v>
      </c>
      <c r="C140" s="44"/>
    </row>
    <row r="141" spans="1:3">
      <c r="A141" s="54" t="s">
        <v>124</v>
      </c>
      <c r="B141" s="55">
        <v>27</v>
      </c>
      <c r="C141" s="44"/>
    </row>
    <row r="142" spans="1:3">
      <c r="A142" s="54" t="s">
        <v>143</v>
      </c>
      <c r="B142" s="55">
        <v>26</v>
      </c>
      <c r="C142" s="44"/>
    </row>
    <row r="143" spans="1:3">
      <c r="A143" s="54" t="s">
        <v>150</v>
      </c>
      <c r="B143" s="55">
        <v>26</v>
      </c>
      <c r="C143" s="44"/>
    </row>
    <row r="144" spans="1:3">
      <c r="A144" s="54" t="s">
        <v>39</v>
      </c>
      <c r="B144" s="55">
        <v>26</v>
      </c>
      <c r="C144" s="44"/>
    </row>
    <row r="145" spans="1:3">
      <c r="A145" s="54" t="s">
        <v>199</v>
      </c>
      <c r="B145" s="55">
        <v>26</v>
      </c>
      <c r="C145" s="44"/>
    </row>
    <row r="146" spans="1:3">
      <c r="A146" s="54" t="s">
        <v>153</v>
      </c>
      <c r="B146" s="55">
        <v>25</v>
      </c>
      <c r="C146" s="44"/>
    </row>
    <row r="147" spans="1:3">
      <c r="A147" s="54" t="s">
        <v>156</v>
      </c>
      <c r="B147" s="55">
        <v>25</v>
      </c>
      <c r="C147" s="44"/>
    </row>
    <row r="148" spans="1:3">
      <c r="A148" s="54" t="s">
        <v>166</v>
      </c>
      <c r="B148" s="55">
        <v>25</v>
      </c>
      <c r="C148" s="44"/>
    </row>
    <row r="149" spans="1:3">
      <c r="A149" s="54" t="s">
        <v>33</v>
      </c>
      <c r="B149" s="55">
        <v>25</v>
      </c>
      <c r="C149" s="44"/>
    </row>
    <row r="150" spans="1:3">
      <c r="A150" s="54" t="s">
        <v>58</v>
      </c>
      <c r="B150" s="55">
        <v>24</v>
      </c>
      <c r="C150" s="44"/>
    </row>
    <row r="151" spans="1:3">
      <c r="A151" s="54" t="s">
        <v>126</v>
      </c>
      <c r="B151" s="55">
        <v>24</v>
      </c>
      <c r="C151" s="44"/>
    </row>
    <row r="152" spans="1:3">
      <c r="A152" s="54" t="s">
        <v>74</v>
      </c>
      <c r="B152" s="55">
        <v>24</v>
      </c>
      <c r="C152" s="44"/>
    </row>
    <row r="153" spans="1:3">
      <c r="A153" s="54" t="s">
        <v>81</v>
      </c>
      <c r="B153" s="55">
        <v>24</v>
      </c>
      <c r="C153" s="44"/>
    </row>
    <row r="154" spans="1:3">
      <c r="A154" s="54" t="s">
        <v>204</v>
      </c>
      <c r="B154" s="55">
        <v>24</v>
      </c>
      <c r="C154" s="44"/>
    </row>
    <row r="155" spans="1:3">
      <c r="A155" s="54" t="s">
        <v>57</v>
      </c>
      <c r="B155" s="55">
        <v>23</v>
      </c>
      <c r="C155" s="44"/>
    </row>
    <row r="156" spans="1:3">
      <c r="A156" s="54" t="s">
        <v>71</v>
      </c>
      <c r="B156" s="55">
        <v>23</v>
      </c>
      <c r="C156" s="44"/>
    </row>
    <row r="157" spans="1:3">
      <c r="A157" s="54" t="s">
        <v>147</v>
      </c>
      <c r="B157" s="55">
        <v>23</v>
      </c>
      <c r="C157" s="44"/>
    </row>
    <row r="158" spans="1:3">
      <c r="A158" s="54" t="s">
        <v>75</v>
      </c>
      <c r="B158" s="55">
        <v>23</v>
      </c>
      <c r="C158" s="44"/>
    </row>
    <row r="159" spans="1:3">
      <c r="A159" s="54" t="s">
        <v>123</v>
      </c>
      <c r="B159" s="55">
        <v>22</v>
      </c>
      <c r="C159" s="44"/>
    </row>
    <row r="160" spans="1:3">
      <c r="A160" s="54" t="s">
        <v>212</v>
      </c>
      <c r="B160" s="55">
        <v>22</v>
      </c>
      <c r="C160" s="44"/>
    </row>
    <row r="161" spans="1:3">
      <c r="A161" s="54" t="s">
        <v>222</v>
      </c>
      <c r="B161" s="55">
        <v>22</v>
      </c>
      <c r="C161" s="44"/>
    </row>
    <row r="162" spans="1:3">
      <c r="A162" s="54" t="s">
        <v>135</v>
      </c>
      <c r="B162" s="55">
        <v>21</v>
      </c>
      <c r="C162" s="44"/>
    </row>
    <row r="163" spans="1:3">
      <c r="A163" s="54" t="s">
        <v>106</v>
      </c>
      <c r="B163" s="55">
        <v>20</v>
      </c>
      <c r="C163" s="44"/>
    </row>
    <row r="164" spans="1:3">
      <c r="A164" s="54" t="s">
        <v>122</v>
      </c>
      <c r="B164" s="55">
        <v>20</v>
      </c>
      <c r="C164" s="44"/>
    </row>
    <row r="165" spans="1:3">
      <c r="A165" s="54" t="s">
        <v>127</v>
      </c>
      <c r="B165" s="55">
        <v>20</v>
      </c>
      <c r="C165" s="44"/>
    </row>
    <row r="166" spans="1:3">
      <c r="A166" s="54" t="s">
        <v>128</v>
      </c>
      <c r="B166" s="55">
        <v>20</v>
      </c>
      <c r="C166" s="44"/>
    </row>
    <row r="167" spans="1:3">
      <c r="A167" s="54" t="s">
        <v>430</v>
      </c>
      <c r="B167" s="55">
        <v>20</v>
      </c>
      <c r="C167" s="44"/>
    </row>
    <row r="168" spans="1:3">
      <c r="A168" s="54" t="s">
        <v>167</v>
      </c>
      <c r="B168" s="55">
        <v>20</v>
      </c>
      <c r="C168" s="44"/>
    </row>
    <row r="169" spans="1:3">
      <c r="A169" s="54" t="s">
        <v>188</v>
      </c>
      <c r="B169" s="55">
        <v>20</v>
      </c>
      <c r="C169" s="44"/>
    </row>
    <row r="170" spans="1:3">
      <c r="A170" s="54" t="s">
        <v>191</v>
      </c>
      <c r="B170" s="55">
        <v>20</v>
      </c>
      <c r="C170" s="44"/>
    </row>
    <row r="171" spans="1:3">
      <c r="A171" s="54" t="s">
        <v>154</v>
      </c>
      <c r="B171" s="55">
        <v>18</v>
      </c>
      <c r="C171" s="44"/>
    </row>
    <row r="172" spans="1:3">
      <c r="A172" s="54" t="s">
        <v>197</v>
      </c>
      <c r="B172" s="55">
        <v>18</v>
      </c>
      <c r="C172" s="44"/>
    </row>
    <row r="173" spans="1:3">
      <c r="A173" s="54" t="s">
        <v>134</v>
      </c>
      <c r="B173" s="55">
        <v>17</v>
      </c>
      <c r="C173" s="44"/>
    </row>
    <row r="174" spans="1:3">
      <c r="A174" s="54" t="s">
        <v>146</v>
      </c>
      <c r="B174" s="55">
        <v>17</v>
      </c>
      <c r="C174" s="44"/>
    </row>
    <row r="175" spans="1:3">
      <c r="A175" s="54" t="s">
        <v>232</v>
      </c>
      <c r="B175" s="55">
        <v>17</v>
      </c>
      <c r="C175" s="44"/>
    </row>
    <row r="176" spans="1:3">
      <c r="A176" s="54" t="s">
        <v>169</v>
      </c>
      <c r="B176" s="55">
        <v>17</v>
      </c>
      <c r="C176" s="44"/>
    </row>
    <row r="177" spans="1:3">
      <c r="A177" s="54" t="s">
        <v>202</v>
      </c>
      <c r="B177" s="55">
        <v>16</v>
      </c>
      <c r="C177" s="44"/>
    </row>
    <row r="178" spans="1:3">
      <c r="A178" s="54" t="s">
        <v>187</v>
      </c>
      <c r="B178" s="55">
        <v>13</v>
      </c>
      <c r="C178" s="44"/>
    </row>
    <row r="179" spans="1:3">
      <c r="A179" s="54" t="s">
        <v>190</v>
      </c>
      <c r="B179" s="55">
        <v>13</v>
      </c>
      <c r="C179" s="44"/>
    </row>
    <row r="180" spans="1:3">
      <c r="A180" s="54" t="s">
        <v>103</v>
      </c>
      <c r="B180" s="55">
        <v>13</v>
      </c>
      <c r="C180" s="44"/>
    </row>
    <row r="181" spans="1:3">
      <c r="A181" s="54" t="s">
        <v>234</v>
      </c>
      <c r="B181" s="55">
        <v>11</v>
      </c>
      <c r="C181" s="44"/>
    </row>
    <row r="182" spans="1:3">
      <c r="A182" s="44"/>
      <c r="B182" s="38"/>
      <c r="C182" s="44"/>
    </row>
    <row r="183" spans="1:3">
      <c r="A183" s="44"/>
      <c r="B183" s="38"/>
      <c r="C183" s="44"/>
    </row>
    <row r="184" spans="1:3">
      <c r="A184" s="44"/>
      <c r="B184" s="38"/>
      <c r="C184" s="44"/>
    </row>
    <row r="185" spans="1:3">
      <c r="A185" s="44"/>
      <c r="B185" s="38"/>
      <c r="C185" s="44"/>
    </row>
    <row r="186" spans="1:3">
      <c r="A186" s="44"/>
      <c r="B186" s="38"/>
      <c r="C186" s="44"/>
    </row>
    <row r="187" spans="1:3">
      <c r="A187" s="44"/>
      <c r="B187" s="38"/>
      <c r="C187" s="44"/>
    </row>
    <row r="188" spans="1:3">
      <c r="A188" s="44"/>
      <c r="B188" s="38"/>
      <c r="C188" s="44"/>
    </row>
    <row r="189" spans="1:3">
      <c r="A189" s="44"/>
      <c r="B189" s="38"/>
      <c r="C189" s="44"/>
    </row>
    <row r="190" spans="1:3">
      <c r="A190" s="44"/>
      <c r="B190" s="38"/>
      <c r="C190" s="44"/>
    </row>
    <row r="191" spans="1:3">
      <c r="A191" s="44"/>
      <c r="B191" s="44"/>
      <c r="C191" s="44"/>
    </row>
    <row r="192" spans="1:3">
      <c r="A192" s="44"/>
      <c r="B192" s="44"/>
      <c r="C192" s="44"/>
    </row>
    <row r="193" spans="1:3">
      <c r="A193" s="44"/>
      <c r="B193" s="44"/>
      <c r="C193" s="44"/>
    </row>
    <row r="194" spans="1:3">
      <c r="A194" s="44"/>
      <c r="B194" s="44"/>
      <c r="C194" s="44"/>
    </row>
    <row r="195" spans="1:3">
      <c r="A195" s="44"/>
      <c r="B195" s="44"/>
      <c r="C195" s="44"/>
    </row>
    <row r="196" spans="1:3">
      <c r="A196" s="44"/>
      <c r="B196" s="44"/>
      <c r="C196" s="44"/>
    </row>
    <row r="197" spans="1:3">
      <c r="A197" s="44"/>
      <c r="B197" s="44"/>
      <c r="C197" s="44"/>
    </row>
    <row r="198" spans="1:3">
      <c r="A198" s="44"/>
      <c r="B198" s="44"/>
      <c r="C198" s="4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FF638-5E7A-471D-AAD3-CBA1AF7F2769}">
  <dimension ref="A1:B38"/>
  <sheetViews>
    <sheetView topLeftCell="A23" workbookViewId="0">
      <selection activeCell="B2" sqref="B2"/>
    </sheetView>
  </sheetViews>
  <sheetFormatPr defaultRowHeight="15"/>
  <sheetData>
    <row r="1" spans="1:2">
      <c r="A1" t="s">
        <v>0</v>
      </c>
      <c r="B1" t="s">
        <v>431</v>
      </c>
    </row>
    <row r="2" spans="1:2">
      <c r="A2" t="s">
        <v>5</v>
      </c>
      <c r="B2" t="s">
        <v>432</v>
      </c>
    </row>
    <row r="3" spans="1:2">
      <c r="A3" t="s">
        <v>6</v>
      </c>
      <c r="B3" t="s">
        <v>432</v>
      </c>
    </row>
    <row r="4" spans="1:2">
      <c r="A4" t="s">
        <v>13</v>
      </c>
      <c r="B4" t="s">
        <v>432</v>
      </c>
    </row>
    <row r="5" spans="1:2">
      <c r="A5" t="s">
        <v>15</v>
      </c>
      <c r="B5" t="s">
        <v>432</v>
      </c>
    </row>
    <row r="6" spans="1:2">
      <c r="A6" t="s">
        <v>16</v>
      </c>
      <c r="B6" t="s">
        <v>432</v>
      </c>
    </row>
    <row r="7" spans="1:2">
      <c r="A7" t="s">
        <v>17</v>
      </c>
      <c r="B7" t="s">
        <v>432</v>
      </c>
    </row>
    <row r="8" spans="1:2">
      <c r="A8" t="s">
        <v>23</v>
      </c>
      <c r="B8" t="s">
        <v>432</v>
      </c>
    </row>
    <row r="9" spans="1:2">
      <c r="A9" t="s">
        <v>25</v>
      </c>
      <c r="B9" t="s">
        <v>432</v>
      </c>
    </row>
    <row r="10" spans="1:2">
      <c r="A10" t="s">
        <v>31</v>
      </c>
      <c r="B10" t="s">
        <v>432</v>
      </c>
    </row>
    <row r="11" spans="1:2">
      <c r="A11" t="s">
        <v>35</v>
      </c>
      <c r="B11" t="s">
        <v>432</v>
      </c>
    </row>
    <row r="12" spans="1:2">
      <c r="A12" t="s">
        <v>45</v>
      </c>
      <c r="B12" t="s">
        <v>432</v>
      </c>
    </row>
    <row r="13" spans="1:2">
      <c r="A13" t="s">
        <v>46</v>
      </c>
      <c r="B13" t="s">
        <v>432</v>
      </c>
    </row>
    <row r="14" spans="1:2">
      <c r="A14" t="s">
        <v>47</v>
      </c>
      <c r="B14" t="s">
        <v>432</v>
      </c>
    </row>
    <row r="15" spans="1:2">
      <c r="A15" t="s">
        <v>14</v>
      </c>
      <c r="B15" t="s">
        <v>432</v>
      </c>
    </row>
    <row r="16" spans="1:2">
      <c r="A16" t="s">
        <v>3</v>
      </c>
      <c r="B16" t="s">
        <v>432</v>
      </c>
    </row>
    <row r="17" spans="1:2">
      <c r="A17" t="s">
        <v>7</v>
      </c>
      <c r="B17" t="s">
        <v>432</v>
      </c>
    </row>
    <row r="18" spans="1:2">
      <c r="A18" t="s">
        <v>9</v>
      </c>
      <c r="B18" t="s">
        <v>432</v>
      </c>
    </row>
    <row r="19" spans="1:2">
      <c r="A19" t="s">
        <v>10</v>
      </c>
      <c r="B19" t="s">
        <v>432</v>
      </c>
    </row>
    <row r="20" spans="1:2">
      <c r="A20" t="s">
        <v>30</v>
      </c>
      <c r="B20" t="s">
        <v>432</v>
      </c>
    </row>
    <row r="21" spans="1:2">
      <c r="A21" t="s">
        <v>11</v>
      </c>
      <c r="B21" t="s">
        <v>432</v>
      </c>
    </row>
    <row r="22" spans="1:2">
      <c r="A22" t="s">
        <v>21</v>
      </c>
      <c r="B22" t="s">
        <v>432</v>
      </c>
    </row>
    <row r="23" spans="1:2">
      <c r="A23" t="s">
        <v>24</v>
      </c>
      <c r="B23" t="s">
        <v>432</v>
      </c>
    </row>
    <row r="24" spans="1:2">
      <c r="A24" t="s">
        <v>27</v>
      </c>
      <c r="B24" t="s">
        <v>432</v>
      </c>
    </row>
    <row r="25" spans="1:2">
      <c r="A25" t="s">
        <v>44</v>
      </c>
      <c r="B25" t="s">
        <v>432</v>
      </c>
    </row>
    <row r="26" spans="1:2">
      <c r="A26" t="s">
        <v>42</v>
      </c>
      <c r="B26" t="s">
        <v>432</v>
      </c>
    </row>
    <row r="27" spans="1:2">
      <c r="A27" t="s">
        <v>98</v>
      </c>
      <c r="B27" t="s">
        <v>432</v>
      </c>
    </row>
    <row r="28" spans="1:2">
      <c r="A28" t="s">
        <v>56</v>
      </c>
      <c r="B28" t="s">
        <v>432</v>
      </c>
    </row>
    <row r="29" spans="1:2">
      <c r="A29" t="s">
        <v>119</v>
      </c>
      <c r="B29" t="s">
        <v>432</v>
      </c>
    </row>
    <row r="30" spans="1:2">
      <c r="A30" t="s">
        <v>141</v>
      </c>
      <c r="B30" t="s">
        <v>432</v>
      </c>
    </row>
    <row r="31" spans="1:2">
      <c r="A31" t="s">
        <v>176</v>
      </c>
      <c r="B31" t="s">
        <v>432</v>
      </c>
    </row>
    <row r="32" spans="1:2">
      <c r="A32" t="s">
        <v>184</v>
      </c>
      <c r="B32" t="s">
        <v>432</v>
      </c>
    </row>
    <row r="33" spans="1:2">
      <c r="A33" t="s">
        <v>101</v>
      </c>
      <c r="B33" t="s">
        <v>432</v>
      </c>
    </row>
    <row r="34" spans="1:2">
      <c r="A34" t="s">
        <v>4</v>
      </c>
      <c r="B34" t="s">
        <v>432</v>
      </c>
    </row>
    <row r="35" spans="1:2">
      <c r="A35" t="s">
        <v>32</v>
      </c>
      <c r="B35" t="s">
        <v>432</v>
      </c>
    </row>
    <row r="36" spans="1:2">
      <c r="A36" t="s">
        <v>79</v>
      </c>
      <c r="B36" t="s">
        <v>432</v>
      </c>
    </row>
    <row r="37" spans="1:2">
      <c r="A37" t="s">
        <v>40</v>
      </c>
      <c r="B37" t="s">
        <v>432</v>
      </c>
    </row>
    <row r="38" spans="1:2">
      <c r="A38" t="s">
        <v>49</v>
      </c>
      <c r="B38" t="s">
        <v>432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AF8B3-75D0-4699-80CD-514882ED77C4}">
  <dimension ref="A1:G59"/>
  <sheetViews>
    <sheetView workbookViewId="0">
      <selection activeCell="C1" sqref="C1"/>
    </sheetView>
  </sheetViews>
  <sheetFormatPr defaultRowHeight="15"/>
  <sheetData>
    <row r="1" spans="1:7" ht="272.25">
      <c r="A1" s="5" t="s">
        <v>433</v>
      </c>
      <c r="B1" s="5" t="s">
        <v>434</v>
      </c>
      <c r="C1" s="36" t="s">
        <v>435</v>
      </c>
      <c r="D1" t="s">
        <v>436</v>
      </c>
    </row>
    <row r="2" spans="1:7" ht="21">
      <c r="A2" s="6">
        <v>1966</v>
      </c>
      <c r="B2" s="7">
        <v>3</v>
      </c>
      <c r="C2">
        <v>28.15</v>
      </c>
      <c r="D2">
        <f>C2 / 42.86 * 100</f>
        <v>65.678954736350903</v>
      </c>
      <c r="E2" s="36"/>
      <c r="F2" s="36"/>
      <c r="G2" s="36"/>
    </row>
    <row r="3" spans="1:7" ht="21">
      <c r="A3" s="6">
        <v>1967</v>
      </c>
      <c r="B3" s="7">
        <v>3</v>
      </c>
      <c r="C3">
        <v>27.4</v>
      </c>
      <c r="D3">
        <f>C3 / 42.86 * 100</f>
        <v>63.929071395240314</v>
      </c>
    </row>
    <row r="4" spans="1:7" ht="21">
      <c r="A4" s="6">
        <v>1968</v>
      </c>
      <c r="B4" s="7">
        <v>4</v>
      </c>
      <c r="C4">
        <v>35.06</v>
      </c>
      <c r="D4">
        <f t="shared" ref="D3:D58" si="0">C4 / 42.86 * 100</f>
        <v>81.801213252449841</v>
      </c>
    </row>
    <row r="5" spans="1:7" ht="21">
      <c r="A5" s="6">
        <v>1969</v>
      </c>
      <c r="B5" s="7">
        <v>4</v>
      </c>
      <c r="C5">
        <v>33.24</v>
      </c>
      <c r="D5">
        <f t="shared" si="0"/>
        <v>77.554829678021477</v>
      </c>
    </row>
    <row r="6" spans="1:7" ht="21">
      <c r="A6" s="6">
        <v>1970</v>
      </c>
      <c r="B6" s="7">
        <v>5.3</v>
      </c>
      <c r="C6">
        <v>41.66</v>
      </c>
      <c r="D6">
        <f t="shared" si="0"/>
        <v>97.200186654223046</v>
      </c>
    </row>
    <row r="7" spans="1:7" ht="21">
      <c r="A7" s="6">
        <v>1971</v>
      </c>
      <c r="B7" s="7">
        <v>5.6</v>
      </c>
      <c r="C7">
        <v>42.17</v>
      </c>
      <c r="D7">
        <f t="shared" si="0"/>
        <v>98.390107326178253</v>
      </c>
    </row>
    <row r="8" spans="1:7" ht="21">
      <c r="A8" s="6">
        <v>1972</v>
      </c>
      <c r="B8" s="7">
        <v>5.8</v>
      </c>
      <c r="C8">
        <v>42.32</v>
      </c>
      <c r="D8">
        <f t="shared" si="0"/>
        <v>98.740083994400379</v>
      </c>
    </row>
    <row r="9" spans="1:7" ht="21">
      <c r="A9" s="6">
        <v>1973</v>
      </c>
      <c r="B9" s="7">
        <v>6.3</v>
      </c>
      <c r="C9">
        <v>43.28</v>
      </c>
      <c r="D9">
        <f t="shared" si="0"/>
        <v>100.97993467102194</v>
      </c>
    </row>
    <row r="10" spans="1:7" ht="21">
      <c r="A10" s="6">
        <v>1974</v>
      </c>
      <c r="B10" s="7">
        <v>6.7</v>
      </c>
      <c r="C10">
        <v>41.45</v>
      </c>
      <c r="D10">
        <f t="shared" si="0"/>
        <v>96.710219318712092</v>
      </c>
    </row>
    <row r="11" spans="1:7" ht="21">
      <c r="A11" s="6">
        <v>1975</v>
      </c>
      <c r="B11" s="7">
        <v>6.7</v>
      </c>
      <c r="C11">
        <v>37.979999999999997</v>
      </c>
      <c r="D11">
        <f t="shared" si="0"/>
        <v>88.614092393840409</v>
      </c>
    </row>
    <row r="12" spans="1:7" ht="21">
      <c r="A12" s="6">
        <v>1976</v>
      </c>
      <c r="B12" s="7">
        <v>7.2</v>
      </c>
      <c r="C12">
        <v>38.590000000000003</v>
      </c>
      <c r="D12">
        <f t="shared" si="0"/>
        <v>90.037330844610366</v>
      </c>
    </row>
    <row r="13" spans="1:7" ht="21">
      <c r="A13" s="6">
        <v>1977</v>
      </c>
      <c r="B13" s="7">
        <v>7.7</v>
      </c>
      <c r="C13">
        <v>38.75</v>
      </c>
      <c r="D13">
        <f t="shared" si="0"/>
        <v>90.410639290713959</v>
      </c>
    </row>
    <row r="14" spans="1:7" ht="21">
      <c r="A14" s="6">
        <v>1978</v>
      </c>
      <c r="B14" s="7">
        <v>8.1999999999999993</v>
      </c>
      <c r="C14">
        <v>38.36</v>
      </c>
      <c r="D14">
        <f t="shared" si="0"/>
        <v>89.500699953336451</v>
      </c>
    </row>
    <row r="15" spans="1:7" ht="21">
      <c r="A15" s="6">
        <v>1979</v>
      </c>
      <c r="B15" s="7">
        <v>8.6999999999999993</v>
      </c>
      <c r="C15">
        <v>36.549999999999997</v>
      </c>
      <c r="D15">
        <f t="shared" si="0"/>
        <v>85.277648156789539</v>
      </c>
    </row>
    <row r="16" spans="1:7" ht="21">
      <c r="A16" s="6">
        <v>1980</v>
      </c>
      <c r="B16" s="7">
        <v>9.6</v>
      </c>
      <c r="C16">
        <v>35.53</v>
      </c>
      <c r="D16">
        <f t="shared" si="0"/>
        <v>82.897806812879153</v>
      </c>
    </row>
    <row r="17" spans="1:4" ht="21">
      <c r="A17" s="6">
        <v>1981</v>
      </c>
      <c r="B17" s="7">
        <v>11</v>
      </c>
      <c r="C17">
        <v>36.909999999999997</v>
      </c>
      <c r="D17">
        <f t="shared" si="0"/>
        <v>86.117592160522634</v>
      </c>
    </row>
    <row r="18" spans="1:4" ht="21">
      <c r="A18" s="6">
        <v>1982</v>
      </c>
      <c r="B18" s="7">
        <v>12.2</v>
      </c>
      <c r="C18">
        <v>38.56</v>
      </c>
      <c r="D18">
        <f t="shared" si="0"/>
        <v>89.967335510965938</v>
      </c>
    </row>
    <row r="19" spans="1:4" ht="21">
      <c r="A19" s="6">
        <v>1983</v>
      </c>
      <c r="B19" s="7">
        <v>12.2</v>
      </c>
      <c r="C19">
        <v>37.36</v>
      </c>
      <c r="D19">
        <f t="shared" si="0"/>
        <v>87.167522165188984</v>
      </c>
    </row>
    <row r="20" spans="1:4" ht="21">
      <c r="A20" s="6">
        <v>1984</v>
      </c>
      <c r="B20" s="7">
        <v>14.6</v>
      </c>
      <c r="C20">
        <v>42.86</v>
      </c>
      <c r="D20">
        <f t="shared" si="0"/>
        <v>100</v>
      </c>
    </row>
    <row r="21" spans="1:4" ht="21">
      <c r="A21" s="6">
        <v>1985</v>
      </c>
      <c r="B21" s="7">
        <v>15.5</v>
      </c>
      <c r="C21">
        <v>43.94</v>
      </c>
      <c r="D21">
        <f t="shared" si="0"/>
        <v>102.51983201119926</v>
      </c>
    </row>
    <row r="22" spans="1:4" ht="21">
      <c r="A22" s="6">
        <v>1986</v>
      </c>
      <c r="B22" s="7">
        <v>15.5</v>
      </c>
      <c r="C22">
        <v>43.13</v>
      </c>
      <c r="D22">
        <f t="shared" si="0"/>
        <v>100.62995800279981</v>
      </c>
    </row>
    <row r="23" spans="1:4" ht="21">
      <c r="A23" s="6">
        <v>1987</v>
      </c>
      <c r="B23" s="7">
        <v>17.899999999999999</v>
      </c>
      <c r="C23">
        <v>48.06</v>
      </c>
      <c r="D23">
        <f t="shared" si="0"/>
        <v>112.13252449836679</v>
      </c>
    </row>
    <row r="24" spans="1:4" ht="21">
      <c r="A24" s="6">
        <v>1988</v>
      </c>
      <c r="B24" s="7">
        <v>24.8</v>
      </c>
      <c r="C24">
        <v>63.94</v>
      </c>
      <c r="D24">
        <f t="shared" si="0"/>
        <v>149.1833877741484</v>
      </c>
    </row>
    <row r="25" spans="1:4" ht="21">
      <c r="A25" s="6">
        <v>1989</v>
      </c>
      <c r="B25" s="7">
        <v>31.9</v>
      </c>
      <c r="C25">
        <v>78.459999999999994</v>
      </c>
      <c r="D25">
        <f t="shared" si="0"/>
        <v>183.06112925804945</v>
      </c>
    </row>
    <row r="26" spans="1:4" ht="21">
      <c r="A26" s="6">
        <v>1990</v>
      </c>
      <c r="B26" s="7">
        <v>28.6</v>
      </c>
      <c r="C26">
        <v>66.739999999999995</v>
      </c>
      <c r="D26">
        <f t="shared" si="0"/>
        <v>155.71628558096126</v>
      </c>
    </row>
    <row r="27" spans="1:4" ht="21">
      <c r="A27" s="6">
        <v>1991</v>
      </c>
      <c r="B27" s="7">
        <v>29.9</v>
      </c>
      <c r="C27">
        <v>66.959999999999994</v>
      </c>
      <c r="D27">
        <f t="shared" si="0"/>
        <v>156.22958469435372</v>
      </c>
    </row>
    <row r="28" spans="1:4" ht="21">
      <c r="A28" s="6">
        <v>1992</v>
      </c>
      <c r="B28" s="7">
        <v>31.8</v>
      </c>
      <c r="C28">
        <v>69.13</v>
      </c>
      <c r="D28">
        <f t="shared" si="0"/>
        <v>161.29258049463368</v>
      </c>
    </row>
    <row r="29" spans="1:4" ht="21">
      <c r="A29" s="6">
        <v>1993</v>
      </c>
      <c r="B29" s="7">
        <v>36.6</v>
      </c>
      <c r="C29">
        <v>77.25</v>
      </c>
      <c r="D29">
        <f t="shared" si="0"/>
        <v>180.23798413439104</v>
      </c>
    </row>
    <row r="30" spans="1:4" ht="21">
      <c r="A30" s="6">
        <v>1994</v>
      </c>
      <c r="B30" s="7">
        <v>41.1</v>
      </c>
      <c r="C30">
        <v>84.59</v>
      </c>
      <c r="D30">
        <f t="shared" si="0"/>
        <v>197.36350909939338</v>
      </c>
    </row>
    <row r="31" spans="1:4" ht="21">
      <c r="A31" s="6">
        <v>1995</v>
      </c>
      <c r="B31" s="7">
        <v>46.1</v>
      </c>
      <c r="C31">
        <v>92.26</v>
      </c>
      <c r="D31">
        <f t="shared" si="0"/>
        <v>215.25898273448436</v>
      </c>
    </row>
    <row r="32" spans="1:4" ht="21">
      <c r="A32" s="6">
        <v>1996</v>
      </c>
      <c r="B32" s="7">
        <v>42.5</v>
      </c>
      <c r="C32">
        <v>82.62</v>
      </c>
      <c r="D32">
        <f t="shared" si="0"/>
        <v>192.76714885674289</v>
      </c>
    </row>
    <row r="33" spans="1:4" ht="21">
      <c r="A33" s="6">
        <v>1997</v>
      </c>
      <c r="B33" s="7">
        <v>43.8</v>
      </c>
      <c r="C33">
        <v>83.23</v>
      </c>
      <c r="D33">
        <f t="shared" si="0"/>
        <v>194.19038730751282</v>
      </c>
    </row>
    <row r="34" spans="1:4" ht="21">
      <c r="A34" s="6">
        <v>1998</v>
      </c>
      <c r="B34" s="7">
        <v>43.8</v>
      </c>
      <c r="C34">
        <v>81.96</v>
      </c>
      <c r="D34">
        <f t="shared" si="0"/>
        <v>191.22725151656553</v>
      </c>
    </row>
    <row r="35" spans="1:4" ht="21">
      <c r="A35" s="6">
        <v>1999</v>
      </c>
      <c r="B35" s="7">
        <v>45.5</v>
      </c>
      <c r="C35">
        <v>83.3</v>
      </c>
      <c r="D35">
        <f t="shared" si="0"/>
        <v>194.35370975268316</v>
      </c>
    </row>
    <row r="36" spans="1:4" ht="21">
      <c r="A36" s="6">
        <v>2000</v>
      </c>
      <c r="B36" s="7">
        <v>45.5</v>
      </c>
      <c r="C36">
        <v>80.59</v>
      </c>
      <c r="D36">
        <f t="shared" si="0"/>
        <v>188.03079794680355</v>
      </c>
    </row>
    <row r="37" spans="1:4" ht="21">
      <c r="A37" s="6">
        <v>2001</v>
      </c>
      <c r="B37" s="7">
        <v>50</v>
      </c>
      <c r="C37">
        <v>86.11</v>
      </c>
      <c r="D37">
        <f t="shared" si="0"/>
        <v>200.90993933737752</v>
      </c>
    </row>
    <row r="38" spans="1:4" ht="21">
      <c r="A38" s="6">
        <v>2002</v>
      </c>
      <c r="B38" s="7">
        <v>54</v>
      </c>
      <c r="C38">
        <v>91.55</v>
      </c>
      <c r="D38">
        <f t="shared" si="0"/>
        <v>213.60242650489968</v>
      </c>
    </row>
    <row r="39" spans="1:4" ht="21">
      <c r="A39" s="6">
        <v>2003</v>
      </c>
      <c r="B39" s="7">
        <v>58.7</v>
      </c>
      <c r="C39">
        <v>97.3</v>
      </c>
      <c r="D39">
        <f t="shared" si="0"/>
        <v>227.01819878674755</v>
      </c>
    </row>
    <row r="40" spans="1:4" ht="21">
      <c r="A40" s="6">
        <v>2004</v>
      </c>
      <c r="B40" s="7">
        <v>66.599999999999994</v>
      </c>
      <c r="C40">
        <v>107.53</v>
      </c>
      <c r="D40">
        <f t="shared" si="0"/>
        <v>250.88660755949604</v>
      </c>
    </row>
    <row r="41" spans="1:4" ht="21">
      <c r="A41" s="6">
        <v>2005</v>
      </c>
      <c r="B41" s="7">
        <v>78.2</v>
      </c>
      <c r="C41">
        <v>122.12</v>
      </c>
      <c r="D41">
        <f t="shared" si="0"/>
        <v>284.92767148856746</v>
      </c>
    </row>
    <row r="42" spans="1:4" ht="21">
      <c r="A42" s="6">
        <v>2006</v>
      </c>
      <c r="B42" s="7">
        <v>88.5</v>
      </c>
      <c r="C42">
        <v>133.88999999999999</v>
      </c>
      <c r="D42">
        <f t="shared" si="0"/>
        <v>312.38917405506299</v>
      </c>
    </row>
    <row r="43" spans="1:4" ht="21">
      <c r="A43" s="6">
        <v>2007</v>
      </c>
      <c r="B43" s="7">
        <v>93.5</v>
      </c>
      <c r="C43">
        <v>137.57</v>
      </c>
      <c r="D43">
        <f t="shared" si="0"/>
        <v>320.97526831544559</v>
      </c>
    </row>
    <row r="44" spans="1:4" ht="21">
      <c r="A44" s="6">
        <v>2008</v>
      </c>
      <c r="B44" s="7">
        <v>96.4</v>
      </c>
      <c r="C44">
        <v>136.56</v>
      </c>
      <c r="D44">
        <f t="shared" si="0"/>
        <v>318.61875874941671</v>
      </c>
    </row>
    <row r="45" spans="1:4" ht="21">
      <c r="A45" s="6">
        <v>2009</v>
      </c>
      <c r="B45" s="7">
        <v>96.4</v>
      </c>
      <c r="C45">
        <v>137.07</v>
      </c>
      <c r="D45">
        <f t="shared" si="0"/>
        <v>319.80867942137189</v>
      </c>
    </row>
    <row r="46" spans="1:4" ht="21">
      <c r="A46" s="6">
        <v>2010</v>
      </c>
      <c r="B46" s="7">
        <v>110.5</v>
      </c>
      <c r="C46">
        <v>154.53</v>
      </c>
      <c r="D46">
        <f t="shared" si="0"/>
        <v>360.54596360242653</v>
      </c>
    </row>
    <row r="47" spans="1:4" ht="21">
      <c r="A47" s="6">
        <v>2011</v>
      </c>
      <c r="B47" s="7">
        <v>115.4</v>
      </c>
      <c r="C47">
        <v>156.5</v>
      </c>
      <c r="D47">
        <f t="shared" si="0"/>
        <v>365.14232384507699</v>
      </c>
    </row>
    <row r="48" spans="1:4" ht="21">
      <c r="A48" s="6">
        <v>2012</v>
      </c>
      <c r="B48" s="7">
        <v>99.9</v>
      </c>
      <c r="C48">
        <v>132.71</v>
      </c>
      <c r="D48">
        <f t="shared" si="0"/>
        <v>309.636024265049</v>
      </c>
    </row>
    <row r="49" spans="1:4" ht="21">
      <c r="A49" s="6">
        <v>2013</v>
      </c>
      <c r="B49" s="7">
        <v>104.9</v>
      </c>
      <c r="C49">
        <v>137.37</v>
      </c>
      <c r="D49">
        <f t="shared" si="0"/>
        <v>320.50863275781614</v>
      </c>
    </row>
    <row r="50" spans="1:4" ht="21">
      <c r="A50" s="6">
        <v>2014</v>
      </c>
      <c r="B50" s="7">
        <v>104.9</v>
      </c>
      <c r="C50">
        <v>135.16999999999999</v>
      </c>
      <c r="D50">
        <f t="shared" si="0"/>
        <v>315.37564162389174</v>
      </c>
    </row>
    <row r="51" spans="1:4" ht="21">
      <c r="A51" s="6">
        <v>2015</v>
      </c>
      <c r="B51" s="7">
        <v>104.9</v>
      </c>
      <c r="C51">
        <v>135</v>
      </c>
      <c r="D51">
        <f t="shared" si="0"/>
        <v>314.97900139990668</v>
      </c>
    </row>
    <row r="52" spans="1:4" ht="21">
      <c r="A52" s="6">
        <v>2016</v>
      </c>
      <c r="B52" s="7">
        <v>104.9</v>
      </c>
      <c r="C52">
        <v>133.31</v>
      </c>
      <c r="D52">
        <f t="shared" si="0"/>
        <v>311.03593093793751</v>
      </c>
    </row>
    <row r="53" spans="1:4" ht="21">
      <c r="A53" s="6">
        <v>2017</v>
      </c>
      <c r="B53" s="7">
        <v>134</v>
      </c>
      <c r="C53">
        <v>166.75</v>
      </c>
      <c r="D53">
        <f t="shared" si="0"/>
        <v>389.05739617358847</v>
      </c>
    </row>
    <row r="54" spans="1:4" ht="21">
      <c r="A54" s="6">
        <v>2018</v>
      </c>
      <c r="B54" s="7">
        <v>134</v>
      </c>
      <c r="C54">
        <v>162.76</v>
      </c>
      <c r="D54">
        <f t="shared" si="0"/>
        <v>379.74801679888003</v>
      </c>
    </row>
    <row r="55" spans="1:4" ht="21">
      <c r="A55" s="6">
        <v>2019</v>
      </c>
      <c r="B55" s="7">
        <v>135.5</v>
      </c>
      <c r="C55">
        <v>161.62</v>
      </c>
      <c r="D55">
        <f t="shared" si="0"/>
        <v>377.08819412039196</v>
      </c>
    </row>
    <row r="56" spans="1:4" ht="21">
      <c r="A56" s="6">
        <v>2020</v>
      </c>
      <c r="B56" s="7">
        <v>144.6</v>
      </c>
      <c r="C56">
        <v>170.41</v>
      </c>
      <c r="D56">
        <f t="shared" si="0"/>
        <v>397.59682687820811</v>
      </c>
    </row>
    <row r="57" spans="1:4" ht="21">
      <c r="A57" s="6">
        <v>2021</v>
      </c>
      <c r="B57" s="7">
        <v>148.5</v>
      </c>
      <c r="C57">
        <v>167.13</v>
      </c>
      <c r="D57">
        <f t="shared" si="0"/>
        <v>389.94400373308446</v>
      </c>
    </row>
    <row r="58" spans="1:4" ht="21">
      <c r="A58" s="6">
        <v>2022</v>
      </c>
      <c r="B58" s="7">
        <v>170.1</v>
      </c>
      <c r="C58">
        <v>177.31</v>
      </c>
      <c r="D58">
        <f>C58 / 42.86 * 100</f>
        <v>413.69575361642558</v>
      </c>
    </row>
    <row r="59" spans="1:4" ht="21">
      <c r="A59" s="6"/>
      <c r="B59" s="7"/>
    </row>
  </sheetData>
  <sortState xmlns:xlrd2="http://schemas.microsoft.com/office/spreadsheetml/2017/richdata2" ref="A2:B1048576">
    <sortCondition ref="A2:A1048576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0241-5179-4C38-8DE4-07C46C69955F}">
  <dimension ref="A1:D45"/>
  <sheetViews>
    <sheetView workbookViewId="0">
      <selection activeCell="B1" sqref="B1"/>
    </sheetView>
  </sheetViews>
  <sheetFormatPr defaultRowHeight="15"/>
  <sheetData>
    <row r="1" spans="1:4">
      <c r="A1" s="44" t="s">
        <v>433</v>
      </c>
      <c r="B1" s="44" t="s">
        <v>437</v>
      </c>
      <c r="C1" s="44"/>
    </row>
    <row r="2" spans="1:4">
      <c r="A2" s="44">
        <v>1980</v>
      </c>
      <c r="B2" s="51">
        <v>100</v>
      </c>
      <c r="C2" s="44"/>
      <c r="D2" t="s">
        <v>438</v>
      </c>
    </row>
    <row r="3" spans="1:4">
      <c r="A3" s="44">
        <v>1981</v>
      </c>
      <c r="B3" s="51">
        <v>98.720698069999997</v>
      </c>
      <c r="C3" s="44"/>
    </row>
    <row r="4" spans="1:4">
      <c r="A4" s="44">
        <v>1982</v>
      </c>
      <c r="B4" s="51">
        <v>90.696796879999994</v>
      </c>
      <c r="C4" s="44"/>
    </row>
    <row r="5" spans="1:4">
      <c r="A5" s="44">
        <v>1983</v>
      </c>
      <c r="B5" s="51">
        <v>92.573532619999995</v>
      </c>
      <c r="C5" s="44"/>
    </row>
    <row r="6" spans="1:4">
      <c r="A6" s="44">
        <v>1984</v>
      </c>
      <c r="B6" s="51">
        <v>96.281680010000002</v>
      </c>
      <c r="C6" s="44"/>
    </row>
    <row r="7" spans="1:4">
      <c r="A7" s="44">
        <v>1985</v>
      </c>
      <c r="B7" s="51">
        <v>95.843863819999996</v>
      </c>
      <c r="C7" s="44"/>
    </row>
    <row r="8" spans="1:4">
      <c r="A8" s="44">
        <v>1986</v>
      </c>
      <c r="B8" s="51">
        <v>98.996702189999993</v>
      </c>
      <c r="C8" s="44"/>
    </row>
    <row r="9" spans="1:4">
      <c r="A9" s="44">
        <v>1987</v>
      </c>
      <c r="B9" s="51">
        <v>108.6178142</v>
      </c>
      <c r="C9" s="44"/>
    </row>
    <row r="10" spans="1:4">
      <c r="A10" s="44">
        <v>1988</v>
      </c>
      <c r="B10" s="51">
        <v>118.86541510000001</v>
      </c>
      <c r="C10" s="44"/>
    </row>
    <row r="11" spans="1:4">
      <c r="A11" s="44">
        <v>1989</v>
      </c>
      <c r="B11" s="51">
        <v>118.8757748</v>
      </c>
      <c r="C11" s="44"/>
    </row>
    <row r="12" spans="1:4">
      <c r="A12" s="44">
        <v>1990</v>
      </c>
      <c r="B12" s="51">
        <v>117.9385851</v>
      </c>
      <c r="C12" s="44"/>
    </row>
    <row r="13" spans="1:4">
      <c r="A13" s="44">
        <v>1991</v>
      </c>
      <c r="B13" s="51">
        <v>112.8776131</v>
      </c>
      <c r="C13" s="44"/>
    </row>
    <row r="14" spans="1:4">
      <c r="A14" s="44">
        <v>1992</v>
      </c>
      <c r="B14" s="51">
        <v>103.7810307</v>
      </c>
      <c r="C14" s="44"/>
    </row>
    <row r="15" spans="1:4">
      <c r="A15" s="44">
        <v>1993</v>
      </c>
      <c r="B15" s="51">
        <v>100.462827</v>
      </c>
      <c r="C15" s="44"/>
    </row>
    <row r="16" spans="1:4">
      <c r="A16" s="44">
        <v>1994</v>
      </c>
      <c r="B16" s="51">
        <v>103.6048961</v>
      </c>
      <c r="C16" s="44"/>
    </row>
    <row r="17" spans="1:3">
      <c r="A17" s="44">
        <v>1995</v>
      </c>
      <c r="B17" s="51">
        <v>100.6071421</v>
      </c>
      <c r="C17" s="44"/>
    </row>
    <row r="18" spans="1:3">
      <c r="A18" s="44">
        <v>1996</v>
      </c>
      <c r="B18" s="51">
        <v>102.5567899</v>
      </c>
      <c r="C18" s="44"/>
    </row>
    <row r="19" spans="1:3">
      <c r="A19" s="44">
        <v>1997</v>
      </c>
      <c r="B19" s="51">
        <v>106.94456839999999</v>
      </c>
      <c r="C19" s="44"/>
    </row>
    <row r="20" spans="1:3">
      <c r="A20" s="44">
        <v>1998</v>
      </c>
      <c r="B20" s="51">
        <v>109.3132428</v>
      </c>
      <c r="C20" s="44"/>
    </row>
    <row r="21" spans="1:3">
      <c r="A21" s="44">
        <v>1999</v>
      </c>
      <c r="B21" s="51">
        <v>112.22369449999999</v>
      </c>
      <c r="C21" s="44"/>
    </row>
    <row r="22" spans="1:3">
      <c r="A22" s="44">
        <v>2000</v>
      </c>
      <c r="B22" s="51">
        <v>117.9286431</v>
      </c>
      <c r="C22" s="44"/>
    </row>
    <row r="23" spans="1:3">
      <c r="A23" s="44">
        <v>2001</v>
      </c>
      <c r="B23" s="51">
        <v>119.5689112</v>
      </c>
      <c r="C23" s="44"/>
    </row>
    <row r="24" spans="1:3">
      <c r="A24" s="44">
        <v>2002</v>
      </c>
      <c r="B24" s="51">
        <v>125.69497149999999</v>
      </c>
      <c r="C24" s="44"/>
    </row>
    <row r="25" spans="1:3">
      <c r="A25" s="44">
        <v>2003</v>
      </c>
      <c r="B25" s="51">
        <v>126.2567923</v>
      </c>
      <c r="C25" s="44"/>
    </row>
    <row r="26" spans="1:3">
      <c r="A26" s="44">
        <v>2004</v>
      </c>
      <c r="B26" s="51">
        <v>140.78788750000001</v>
      </c>
      <c r="C26" s="44"/>
    </row>
    <row r="27" spans="1:3">
      <c r="A27" s="44">
        <v>2005</v>
      </c>
      <c r="B27" s="51">
        <v>151.08115419999999</v>
      </c>
      <c r="C27" s="44"/>
    </row>
    <row r="28" spans="1:3">
      <c r="A28" s="44">
        <v>2006</v>
      </c>
      <c r="B28" s="51">
        <v>156.5743631</v>
      </c>
      <c r="C28" s="44"/>
    </row>
    <row r="29" spans="1:3">
      <c r="A29" s="44">
        <v>2007</v>
      </c>
      <c r="B29" s="51">
        <v>160.91405130000001</v>
      </c>
      <c r="C29" s="44"/>
    </row>
    <row r="30" spans="1:3">
      <c r="A30" s="44">
        <v>2008</v>
      </c>
      <c r="B30" s="51">
        <v>141.56809029999999</v>
      </c>
      <c r="C30" s="44"/>
    </row>
    <row r="31" spans="1:3">
      <c r="A31" s="44">
        <v>2009</v>
      </c>
      <c r="B31" s="51">
        <v>123.225054</v>
      </c>
      <c r="C31" s="44"/>
    </row>
    <row r="32" spans="1:3">
      <c r="A32" s="44">
        <v>2010</v>
      </c>
      <c r="B32" s="51">
        <v>130.0329107</v>
      </c>
      <c r="C32" s="44"/>
    </row>
    <row r="33" spans="1:3">
      <c r="A33" s="44">
        <v>2011</v>
      </c>
      <c r="B33" s="51">
        <v>125.3987853</v>
      </c>
      <c r="C33" s="44"/>
    </row>
    <row r="34" spans="1:3">
      <c r="A34" s="44">
        <v>2012</v>
      </c>
      <c r="B34" s="51">
        <v>127.1340433</v>
      </c>
      <c r="C34" s="44"/>
    </row>
    <row r="35" spans="1:3">
      <c r="A35" s="44">
        <v>2013</v>
      </c>
      <c r="B35" s="51">
        <v>137.94468130000001</v>
      </c>
      <c r="C35" s="44"/>
    </row>
    <row r="36" spans="1:3">
      <c r="A36" s="44">
        <v>2014</v>
      </c>
      <c r="B36" s="51">
        <v>146.36250240000001</v>
      </c>
      <c r="C36" s="44"/>
    </row>
    <row r="37" spans="1:3">
      <c r="A37" s="44">
        <v>2015</v>
      </c>
      <c r="B37" s="51">
        <v>151.22642630000001</v>
      </c>
      <c r="C37" s="44"/>
    </row>
    <row r="38" spans="1:3">
      <c r="A38" s="44">
        <v>2016</v>
      </c>
      <c r="B38" s="51">
        <v>151.8796025</v>
      </c>
      <c r="C38" s="44"/>
    </row>
    <row r="39" spans="1:3">
      <c r="A39" s="44">
        <v>2017</v>
      </c>
      <c r="B39" s="51">
        <v>155.94326169999999</v>
      </c>
      <c r="C39" s="44"/>
    </row>
    <row r="40" spans="1:3">
      <c r="A40" s="44">
        <v>2018</v>
      </c>
      <c r="B40" s="51">
        <v>152.9670327</v>
      </c>
      <c r="C40" s="44"/>
    </row>
    <row r="41" spans="1:3">
      <c r="A41" s="44">
        <v>2019</v>
      </c>
      <c r="B41" s="51">
        <v>150.06400120000001</v>
      </c>
      <c r="C41" s="44"/>
    </row>
    <row r="42" spans="1:3">
      <c r="A42" s="44">
        <v>2020</v>
      </c>
      <c r="B42" s="51">
        <v>149.656836</v>
      </c>
      <c r="C42" s="44"/>
    </row>
    <row r="43" spans="1:3">
      <c r="A43" s="44">
        <v>2021</v>
      </c>
      <c r="B43" s="51">
        <v>160.85255699999999</v>
      </c>
      <c r="C43" s="44"/>
    </row>
    <row r="44" spans="1:3">
      <c r="A44" s="44">
        <v>2022</v>
      </c>
      <c r="B44" s="51">
        <v>181.419228</v>
      </c>
      <c r="C44" s="44"/>
    </row>
    <row r="45" spans="1:3">
      <c r="A45" s="44"/>
      <c r="B45" s="44"/>
      <c r="C45" s="4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66AC-BB96-4A90-865E-46626511597D}">
  <dimension ref="A1:AE61"/>
  <sheetViews>
    <sheetView workbookViewId="0">
      <selection activeCell="D1" sqref="D1"/>
    </sheetView>
  </sheetViews>
  <sheetFormatPr defaultRowHeight="15"/>
  <sheetData>
    <row r="1" spans="1:26">
      <c r="A1" s="38" t="s">
        <v>433</v>
      </c>
      <c r="B1" s="38" t="s">
        <v>439</v>
      </c>
      <c r="C1" s="38" t="s">
        <v>440</v>
      </c>
      <c r="D1" s="38" t="s">
        <v>441</v>
      </c>
      <c r="E1" s="38"/>
      <c r="F1" s="38"/>
      <c r="G1" s="38"/>
      <c r="H1" s="45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44"/>
    </row>
    <row r="2" spans="1:26">
      <c r="A2" s="39">
        <v>1963</v>
      </c>
      <c r="B2" s="37">
        <v>1248</v>
      </c>
      <c r="C2" s="40">
        <v>12126</v>
      </c>
      <c r="D2" s="40">
        <f>C2 / 12928 * 100</f>
        <v>93.79641089108911</v>
      </c>
      <c r="E2" s="37"/>
      <c r="F2" s="37"/>
      <c r="G2" s="37"/>
      <c r="H2" s="46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44"/>
    </row>
    <row r="3" spans="1:26">
      <c r="A3" s="39">
        <v>1968</v>
      </c>
      <c r="B3" s="41">
        <v>1459</v>
      </c>
      <c r="C3" s="40">
        <v>12256</v>
      </c>
      <c r="D3" s="40">
        <f>C3 / 12928 * 100</f>
        <v>94.801980198019791</v>
      </c>
      <c r="E3" s="39"/>
      <c r="F3" s="39"/>
      <c r="G3" s="39"/>
      <c r="H3" s="47"/>
      <c r="I3" s="39"/>
      <c r="J3" s="39"/>
      <c r="K3" s="39"/>
      <c r="L3" s="39"/>
      <c r="M3" s="39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4"/>
    </row>
    <row r="4" spans="1:26">
      <c r="A4" s="39">
        <v>1969</v>
      </c>
      <c r="B4" s="41">
        <v>1560</v>
      </c>
      <c r="C4" s="40">
        <v>12376</v>
      </c>
      <c r="D4" s="40">
        <f t="shared" ref="D4:D57" si="0">C4 / 12928 * 100</f>
        <v>95.730198019801975</v>
      </c>
      <c r="E4" s="39"/>
      <c r="F4" s="39"/>
      <c r="G4" s="39"/>
      <c r="H4" s="47"/>
      <c r="I4" s="39"/>
      <c r="J4" s="39"/>
      <c r="K4" s="39"/>
      <c r="L4" s="39"/>
      <c r="M4" s="39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4"/>
    </row>
    <row r="5" spans="1:26">
      <c r="A5" s="39">
        <v>1970</v>
      </c>
      <c r="B5" s="41">
        <v>1653</v>
      </c>
      <c r="C5" s="40">
        <v>12468</v>
      </c>
      <c r="D5" s="40">
        <f t="shared" si="0"/>
        <v>96.441831683168317</v>
      </c>
      <c r="E5" s="39"/>
      <c r="F5" s="39"/>
      <c r="G5" s="39"/>
      <c r="H5" s="47"/>
      <c r="I5" s="39"/>
      <c r="J5" s="39"/>
      <c r="K5" s="39"/>
      <c r="L5" s="39"/>
      <c r="M5" s="39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4"/>
    </row>
    <row r="6" spans="1:26">
      <c r="A6" s="39">
        <v>1971</v>
      </c>
      <c r="B6" s="41">
        <v>1730</v>
      </c>
      <c r="C6" s="40">
        <v>12603</v>
      </c>
      <c r="D6" s="40">
        <f t="shared" si="0"/>
        <v>97.486076732673268</v>
      </c>
      <c r="E6" s="39"/>
      <c r="F6" s="39"/>
      <c r="G6" s="39"/>
      <c r="H6" s="47"/>
      <c r="I6" s="39"/>
      <c r="J6" s="39"/>
      <c r="K6" s="39"/>
      <c r="L6" s="39"/>
      <c r="M6" s="39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4"/>
    </row>
    <row r="7" spans="1:26">
      <c r="A7" s="39">
        <v>1972</v>
      </c>
      <c r="B7" s="41">
        <v>1834</v>
      </c>
      <c r="C7" s="40">
        <v>12842</v>
      </c>
      <c r="D7" s="40">
        <f t="shared" si="0"/>
        <v>99.334777227722768</v>
      </c>
      <c r="E7" s="39"/>
      <c r="F7" s="39"/>
      <c r="G7" s="39"/>
      <c r="H7" s="47"/>
      <c r="I7" s="39"/>
      <c r="J7" s="39"/>
      <c r="K7" s="39"/>
      <c r="L7" s="39"/>
      <c r="M7" s="39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4"/>
    </row>
    <row r="8" spans="1:26">
      <c r="A8" s="39">
        <v>1973</v>
      </c>
      <c r="B8" s="41">
        <v>1903</v>
      </c>
      <c r="C8" s="40">
        <v>12232</v>
      </c>
      <c r="D8" s="40">
        <f t="shared" si="0"/>
        <v>94.616336633663366</v>
      </c>
      <c r="E8" s="39"/>
      <c r="F8" s="39"/>
      <c r="G8" s="39"/>
      <c r="H8" s="47"/>
      <c r="I8" s="39"/>
      <c r="J8" s="39"/>
      <c r="K8" s="39"/>
      <c r="L8" s="39"/>
      <c r="M8" s="39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4"/>
    </row>
    <row r="9" spans="1:26" ht="21.75">
      <c r="A9" s="39">
        <v>1974</v>
      </c>
      <c r="B9" s="42" t="s">
        <v>442</v>
      </c>
      <c r="C9" s="43">
        <v>11475</v>
      </c>
      <c r="D9" s="40">
        <f>C9 / 12928 * 100</f>
        <v>88.760829207920793</v>
      </c>
      <c r="E9" s="42"/>
      <c r="F9" s="42"/>
      <c r="G9" s="42"/>
      <c r="H9" s="48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4"/>
    </row>
    <row r="10" spans="1:26">
      <c r="A10" s="39">
        <v>1975</v>
      </c>
      <c r="B10" s="41">
        <v>2103</v>
      </c>
      <c r="C10" s="40">
        <v>11366</v>
      </c>
      <c r="D10" s="40">
        <f t="shared" si="0"/>
        <v>87.917698019801975</v>
      </c>
      <c r="E10" s="39"/>
      <c r="F10" s="41"/>
      <c r="G10" s="39"/>
      <c r="H10" s="47"/>
      <c r="I10" s="39"/>
      <c r="J10" s="39"/>
      <c r="K10" s="39"/>
      <c r="L10" s="39"/>
      <c r="M10" s="39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4"/>
    </row>
    <row r="11" spans="1:26">
      <c r="A11" s="39">
        <v>1976</v>
      </c>
      <c r="B11" s="41">
        <v>2275</v>
      </c>
      <c r="C11" s="40">
        <v>11617</v>
      </c>
      <c r="D11" s="40">
        <f t="shared" si="0"/>
        <v>89.859220297029708</v>
      </c>
      <c r="E11" s="39"/>
      <c r="F11" s="41"/>
      <c r="G11" s="39"/>
      <c r="H11" s="47"/>
      <c r="I11" s="39"/>
      <c r="J11" s="39"/>
      <c r="K11" s="39"/>
      <c r="L11" s="39"/>
      <c r="M11" s="39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4"/>
    </row>
    <row r="12" spans="1:26">
      <c r="A12" s="39">
        <v>1977</v>
      </c>
      <c r="B12" s="41">
        <v>2411</v>
      </c>
      <c r="C12" s="40">
        <v>11535</v>
      </c>
      <c r="D12" s="40">
        <f t="shared" si="0"/>
        <v>89.224938118811878</v>
      </c>
      <c r="E12" s="39"/>
      <c r="F12" s="41"/>
      <c r="G12" s="39"/>
      <c r="H12" s="47"/>
      <c r="I12" s="39"/>
      <c r="J12" s="39"/>
      <c r="K12" s="39"/>
      <c r="L12" s="39"/>
      <c r="M12" s="39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4"/>
    </row>
    <row r="13" spans="1:26">
      <c r="A13" s="39">
        <v>1978</v>
      </c>
      <c r="B13" s="41">
        <v>2587</v>
      </c>
      <c r="C13" s="40">
        <v>11316</v>
      </c>
      <c r="D13" s="40">
        <f t="shared" si="0"/>
        <v>87.530940594059402</v>
      </c>
      <c r="E13" s="41"/>
      <c r="F13" s="41"/>
      <c r="G13" s="39"/>
      <c r="H13" s="47"/>
      <c r="I13" s="39"/>
      <c r="J13" s="39"/>
      <c r="K13" s="39"/>
      <c r="L13" s="39"/>
      <c r="M13" s="39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4"/>
    </row>
    <row r="14" spans="1:26" ht="21.75">
      <c r="A14" s="39">
        <v>1979</v>
      </c>
      <c r="B14" s="42" t="s">
        <v>443</v>
      </c>
      <c r="C14" s="43">
        <v>10843</v>
      </c>
      <c r="D14" s="40">
        <f>C14 / 12928 * 100</f>
        <v>83.872215346534645</v>
      </c>
      <c r="E14" s="42"/>
      <c r="F14" s="42"/>
      <c r="G14" s="42"/>
      <c r="H14" s="48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4"/>
    </row>
    <row r="15" spans="1:26">
      <c r="A15" s="39">
        <v>1980</v>
      </c>
      <c r="B15" s="41">
        <v>3101</v>
      </c>
      <c r="C15" s="40">
        <v>10729</v>
      </c>
      <c r="D15" s="40">
        <f t="shared" si="0"/>
        <v>82.990408415841586</v>
      </c>
      <c r="E15" s="41"/>
      <c r="F15" s="41"/>
      <c r="G15" s="39"/>
      <c r="H15" s="47"/>
      <c r="I15" s="39"/>
      <c r="J15" s="39"/>
      <c r="K15" s="39"/>
      <c r="L15" s="39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4"/>
    </row>
    <row r="16" spans="1:26">
      <c r="A16" s="39">
        <v>1981</v>
      </c>
      <c r="B16" s="41">
        <v>3489</v>
      </c>
      <c r="C16" s="40">
        <v>11112</v>
      </c>
      <c r="D16" s="40">
        <f t="shared" si="0"/>
        <v>85.952970297029708</v>
      </c>
      <c r="E16" s="41"/>
      <c r="F16" s="41"/>
      <c r="G16" s="39"/>
      <c r="H16" s="47"/>
      <c r="I16" s="39"/>
      <c r="J16" s="39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4"/>
    </row>
    <row r="17" spans="1:26">
      <c r="A17" s="39">
        <v>1982</v>
      </c>
      <c r="B17" s="41">
        <v>3877</v>
      </c>
      <c r="C17" s="40">
        <v>11837</v>
      </c>
      <c r="D17" s="40">
        <f t="shared" si="0"/>
        <v>91.560952970297024</v>
      </c>
      <c r="E17" s="41"/>
      <c r="F17" s="41"/>
      <c r="G17" s="39"/>
      <c r="H17" s="49"/>
      <c r="I17" s="41"/>
      <c r="J17" s="39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4"/>
    </row>
    <row r="18" spans="1:26">
      <c r="A18" s="39">
        <v>1983</v>
      </c>
      <c r="B18" s="41">
        <v>4167</v>
      </c>
      <c r="C18" s="40">
        <v>12270</v>
      </c>
      <c r="D18" s="40">
        <f t="shared" si="0"/>
        <v>94.910272277227719</v>
      </c>
      <c r="E18" s="41"/>
      <c r="F18" s="41"/>
      <c r="G18" s="39"/>
      <c r="H18" s="49"/>
      <c r="I18" s="41"/>
      <c r="J18" s="39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4"/>
    </row>
    <row r="19" spans="1:26" ht="21.75">
      <c r="A19" s="39">
        <v>1984</v>
      </c>
      <c r="B19" s="42" t="s">
        <v>444</v>
      </c>
      <c r="C19" s="43">
        <v>12928</v>
      </c>
      <c r="D19" s="40">
        <f>C19 / 12928 * 100</f>
        <v>100</v>
      </c>
      <c r="E19" s="42"/>
      <c r="F19" s="42"/>
      <c r="G19" s="42"/>
      <c r="H19" s="48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4"/>
    </row>
    <row r="20" spans="1:26">
      <c r="A20" s="39">
        <v>1985</v>
      </c>
      <c r="B20" s="41">
        <v>4885</v>
      </c>
      <c r="C20" s="40">
        <v>13453</v>
      </c>
      <c r="D20" s="40">
        <f t="shared" si="0"/>
        <v>104.06095297029702</v>
      </c>
      <c r="E20" s="41"/>
      <c r="F20" s="41"/>
      <c r="G20" s="39"/>
      <c r="H20" s="49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4"/>
    </row>
    <row r="21" spans="1:26">
      <c r="A21" s="39">
        <v>1986</v>
      </c>
      <c r="B21" s="41">
        <v>5206</v>
      </c>
      <c r="C21" s="40">
        <v>14025</v>
      </c>
      <c r="D21" s="40">
        <f t="shared" si="0"/>
        <v>108.48545792079207</v>
      </c>
      <c r="E21" s="41"/>
      <c r="F21" s="41"/>
      <c r="G21" s="39"/>
      <c r="H21" s="49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4"/>
    </row>
    <row r="22" spans="1:26">
      <c r="A22" s="39">
        <v>1987</v>
      </c>
      <c r="B22" s="41">
        <v>5494</v>
      </c>
      <c r="C22" s="40">
        <v>14214</v>
      </c>
      <c r="D22" s="40">
        <f t="shared" si="0"/>
        <v>109.94740099009901</v>
      </c>
      <c r="E22" s="41"/>
      <c r="F22" s="41"/>
      <c r="G22" s="39"/>
      <c r="H22" s="49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4"/>
    </row>
    <row r="23" spans="1:26">
      <c r="A23" s="39">
        <v>1988</v>
      </c>
      <c r="B23" s="41">
        <v>5869</v>
      </c>
      <c r="C23" s="40">
        <v>14512</v>
      </c>
      <c r="D23" s="40">
        <f t="shared" si="0"/>
        <v>112.25247524752476</v>
      </c>
      <c r="E23" s="41"/>
      <c r="F23" s="41"/>
      <c r="G23" s="39"/>
      <c r="H23" s="49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4"/>
    </row>
    <row r="24" spans="1:26" ht="21.75">
      <c r="A24" s="39">
        <v>1989</v>
      </c>
      <c r="B24" s="42" t="s">
        <v>445</v>
      </c>
      <c r="C24" s="43">
        <v>14650</v>
      </c>
      <c r="D24" s="40">
        <f>C24 / 12928 * 100</f>
        <v>113.31992574257426</v>
      </c>
      <c r="E24" s="42"/>
      <c r="F24" s="42"/>
      <c r="G24" s="42"/>
      <c r="H24" s="48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4"/>
    </row>
    <row r="25" spans="1:26">
      <c r="A25" s="39">
        <v>1990</v>
      </c>
      <c r="B25" s="41">
        <v>6562</v>
      </c>
      <c r="C25" s="40">
        <v>14684</v>
      </c>
      <c r="D25" s="40">
        <f t="shared" si="0"/>
        <v>113.58292079207921</v>
      </c>
      <c r="E25" s="41"/>
      <c r="F25" s="41"/>
      <c r="G25" s="41"/>
      <c r="H25" s="49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4"/>
    </row>
    <row r="26" spans="1:26">
      <c r="A26" s="39">
        <v>1991</v>
      </c>
      <c r="B26" s="41">
        <v>7077</v>
      </c>
      <c r="C26" s="40">
        <v>15346</v>
      </c>
      <c r="D26" s="40">
        <f t="shared" si="0"/>
        <v>118.7035891089109</v>
      </c>
      <c r="E26" s="41"/>
      <c r="F26" s="41"/>
      <c r="G26" s="41"/>
      <c r="H26" s="49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4"/>
    </row>
    <row r="27" spans="1:26">
      <c r="A27" s="39">
        <v>1992</v>
      </c>
      <c r="B27" s="41">
        <v>7452</v>
      </c>
      <c r="C27" s="40">
        <v>15670</v>
      </c>
      <c r="D27" s="40">
        <f t="shared" si="0"/>
        <v>121.20977722772277</v>
      </c>
      <c r="E27" s="41"/>
      <c r="F27" s="41"/>
      <c r="G27" s="41"/>
      <c r="H27" s="49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4"/>
    </row>
    <row r="28" spans="1:26">
      <c r="A28" s="39">
        <v>1993</v>
      </c>
      <c r="B28" s="41">
        <v>7931</v>
      </c>
      <c r="C28" s="40">
        <v>16256</v>
      </c>
      <c r="D28" s="40">
        <f t="shared" si="0"/>
        <v>125.74257425742574</v>
      </c>
      <c r="E28" s="41"/>
      <c r="F28" s="41"/>
      <c r="G28" s="41"/>
      <c r="H28" s="49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4"/>
    </row>
    <row r="29" spans="1:26" ht="21.75">
      <c r="A29" s="39">
        <v>1994</v>
      </c>
      <c r="B29" s="42" t="s">
        <v>446</v>
      </c>
      <c r="C29" s="43">
        <v>16549</v>
      </c>
      <c r="D29" s="40">
        <f>C29 / 12928 * 100</f>
        <v>128.00897277227722</v>
      </c>
      <c r="E29" s="42"/>
      <c r="F29" s="42"/>
      <c r="G29" s="42"/>
      <c r="H29" s="48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4"/>
    </row>
    <row r="30" spans="1:26">
      <c r="A30" s="39">
        <v>1995</v>
      </c>
      <c r="B30" s="41">
        <v>8800</v>
      </c>
      <c r="C30" s="40">
        <v>17070</v>
      </c>
      <c r="D30" s="40">
        <f t="shared" si="0"/>
        <v>132.03898514851485</v>
      </c>
      <c r="E30" s="41"/>
      <c r="F30" s="41"/>
      <c r="G30" s="41"/>
      <c r="H30" s="49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4"/>
    </row>
    <row r="31" spans="1:26">
      <c r="A31" s="39">
        <v>1996</v>
      </c>
      <c r="B31" s="41">
        <v>9206</v>
      </c>
      <c r="C31" s="40">
        <v>17361</v>
      </c>
      <c r="D31" s="40">
        <f t="shared" si="0"/>
        <v>134.28991336633663</v>
      </c>
      <c r="E31" s="41"/>
      <c r="F31" s="41"/>
      <c r="G31" s="41"/>
      <c r="H31" s="49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4"/>
    </row>
    <row r="32" spans="1:26">
      <c r="A32" s="39">
        <v>1997</v>
      </c>
      <c r="B32" s="41">
        <v>9588</v>
      </c>
      <c r="C32" s="40">
        <v>17764</v>
      </c>
      <c r="D32" s="40">
        <f t="shared" si="0"/>
        <v>137.40717821782178</v>
      </c>
      <c r="E32" s="41"/>
      <c r="F32" s="41"/>
      <c r="G32" s="41"/>
      <c r="H32" s="49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4"/>
    </row>
    <row r="33" spans="1:31">
      <c r="A33" s="39">
        <v>1998</v>
      </c>
      <c r="B33" s="41">
        <v>10076</v>
      </c>
      <c r="C33" s="40">
        <v>18351</v>
      </c>
      <c r="D33" s="40">
        <f t="shared" si="0"/>
        <v>141.94771039603958</v>
      </c>
      <c r="E33" s="41"/>
      <c r="F33" s="41"/>
      <c r="G33" s="41"/>
      <c r="H33" s="49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4"/>
    </row>
    <row r="34" spans="1:31" ht="21.75">
      <c r="A34" s="39">
        <v>1999</v>
      </c>
      <c r="B34" s="42" t="s">
        <v>447</v>
      </c>
      <c r="C34" s="43">
        <v>18464</v>
      </c>
      <c r="D34" s="40">
        <f t="shared" si="0"/>
        <v>142.8217821782178</v>
      </c>
      <c r="E34" s="42"/>
      <c r="F34" s="42"/>
      <c r="G34" s="42"/>
      <c r="H34" s="48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4"/>
    </row>
    <row r="35" spans="1:31">
      <c r="A35" s="39">
        <v>2000</v>
      </c>
      <c r="B35" s="41">
        <v>10820</v>
      </c>
      <c r="C35" s="40">
        <v>18519</v>
      </c>
      <c r="D35" s="40">
        <f t="shared" si="0"/>
        <v>143.24721534653466</v>
      </c>
      <c r="E35" s="41"/>
      <c r="F35" s="41"/>
      <c r="G35" s="41"/>
      <c r="H35" s="49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4"/>
      <c r="AE35" t="s">
        <v>448</v>
      </c>
    </row>
    <row r="36" spans="1:31">
      <c r="A36" s="39">
        <v>2001</v>
      </c>
      <c r="B36" s="41">
        <v>11380</v>
      </c>
      <c r="C36" s="40">
        <v>19139</v>
      </c>
      <c r="D36" s="40">
        <f t="shared" si="0"/>
        <v>148.04300742574256</v>
      </c>
      <c r="E36" s="41"/>
      <c r="F36" s="41"/>
      <c r="G36" s="41"/>
      <c r="H36" s="49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4"/>
    </row>
    <row r="37" spans="1:31">
      <c r="A37" s="39">
        <v>2002</v>
      </c>
      <c r="B37" s="41">
        <v>12014</v>
      </c>
      <c r="C37" s="40">
        <v>19770</v>
      </c>
      <c r="D37" s="40">
        <f t="shared" si="0"/>
        <v>152.92388613861385</v>
      </c>
      <c r="E37" s="41"/>
      <c r="F37" s="41"/>
      <c r="G37" s="41"/>
      <c r="H37" s="49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4"/>
    </row>
    <row r="38" spans="1:31">
      <c r="A38" s="39">
        <v>2003</v>
      </c>
      <c r="B38" s="41">
        <v>12953</v>
      </c>
      <c r="C38" s="40">
        <v>20860</v>
      </c>
      <c r="D38" s="40">
        <f t="shared" si="0"/>
        <v>161.35519801980197</v>
      </c>
      <c r="E38" s="41"/>
      <c r="F38" s="41"/>
      <c r="G38" s="41"/>
      <c r="H38" s="49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4"/>
    </row>
    <row r="39" spans="1:31" ht="21.75">
      <c r="A39" s="39">
        <v>2004</v>
      </c>
      <c r="B39" s="42" t="s">
        <v>449</v>
      </c>
      <c r="C39" s="43">
        <v>21564</v>
      </c>
      <c r="D39" s="40">
        <f t="shared" si="0"/>
        <v>166.80074257425744</v>
      </c>
      <c r="E39" s="42"/>
      <c r="F39" s="42"/>
      <c r="G39" s="42"/>
      <c r="H39" s="48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4"/>
    </row>
    <row r="40" spans="1:31">
      <c r="A40" s="39">
        <v>2005</v>
      </c>
      <c r="B40" s="41">
        <v>14634</v>
      </c>
      <c r="C40" s="40">
        <v>22039</v>
      </c>
      <c r="D40" s="40">
        <f t="shared" si="0"/>
        <v>170.47493811881191</v>
      </c>
      <c r="E40" s="41"/>
      <c r="F40" s="41"/>
      <c r="G40" s="41"/>
      <c r="H40" s="49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4"/>
    </row>
    <row r="41" spans="1:31">
      <c r="A41" s="39">
        <v>2006</v>
      </c>
      <c r="B41" s="41">
        <v>15486</v>
      </c>
      <c r="C41" s="40">
        <v>22734</v>
      </c>
      <c r="D41" s="40">
        <f t="shared" si="0"/>
        <v>175.85086633663366</v>
      </c>
      <c r="E41" s="41"/>
      <c r="F41" s="41"/>
      <c r="G41" s="41"/>
      <c r="H41" s="49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4"/>
    </row>
    <row r="42" spans="1:31">
      <c r="A42" s="39">
        <v>2007</v>
      </c>
      <c r="B42" s="41">
        <v>16227</v>
      </c>
      <c r="C42" s="40">
        <v>22971</v>
      </c>
      <c r="D42" s="40">
        <f t="shared" si="0"/>
        <v>177.68409653465346</v>
      </c>
      <c r="E42" s="41"/>
      <c r="F42" s="41"/>
      <c r="G42" s="41"/>
      <c r="H42" s="49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4"/>
    </row>
    <row r="43" spans="1:31">
      <c r="A43" s="39">
        <v>2008</v>
      </c>
      <c r="B43" s="41">
        <v>17045</v>
      </c>
      <c r="C43" s="40">
        <v>23797</v>
      </c>
      <c r="D43" s="40">
        <f t="shared" si="0"/>
        <v>184.07332920792078</v>
      </c>
      <c r="E43" s="41"/>
      <c r="F43" s="41"/>
      <c r="G43" s="41"/>
      <c r="H43" s="49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4"/>
    </row>
    <row r="44" spans="1:31" ht="21.75">
      <c r="A44" s="39">
        <v>2009</v>
      </c>
      <c r="B44" s="42" t="s">
        <v>450</v>
      </c>
      <c r="C44" s="43">
        <v>24405</v>
      </c>
      <c r="D44" s="40">
        <f t="shared" si="0"/>
        <v>188.77629950495049</v>
      </c>
      <c r="E44" s="42"/>
      <c r="F44" s="42"/>
      <c r="G44" s="42"/>
      <c r="H44" s="48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4"/>
    </row>
    <row r="45" spans="1:31">
      <c r="A45" s="39">
        <v>2010</v>
      </c>
      <c r="B45" s="41">
        <v>18475</v>
      </c>
      <c r="C45" s="40">
        <v>25043</v>
      </c>
      <c r="D45" s="40">
        <f t="shared" si="0"/>
        <v>193.71132425742573</v>
      </c>
      <c r="E45" s="41"/>
      <c r="F45" s="41"/>
      <c r="G45" s="41"/>
      <c r="H45" s="49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4"/>
    </row>
    <row r="46" spans="1:31">
      <c r="A46" s="39">
        <v>2011</v>
      </c>
      <c r="B46" s="41">
        <v>19401</v>
      </c>
      <c r="C46" s="40">
        <v>25550</v>
      </c>
      <c r="D46" s="40">
        <f t="shared" si="0"/>
        <v>197.63304455445544</v>
      </c>
      <c r="E46" s="41"/>
      <c r="F46" s="41"/>
      <c r="G46" s="41"/>
      <c r="H46" s="49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4"/>
    </row>
    <row r="47" spans="1:31">
      <c r="A47" s="39">
        <v>2012</v>
      </c>
      <c r="B47" s="41">
        <v>20233</v>
      </c>
      <c r="C47" s="40">
        <v>26209</v>
      </c>
      <c r="D47" s="40">
        <f t="shared" si="0"/>
        <v>202.73050742574256</v>
      </c>
      <c r="E47" s="41"/>
      <c r="F47" s="41"/>
      <c r="G47" s="41"/>
      <c r="H47" s="49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4"/>
    </row>
    <row r="48" spans="1:31">
      <c r="A48" s="39">
        <v>2013</v>
      </c>
      <c r="B48" s="41">
        <v>20995</v>
      </c>
      <c r="C48" s="40">
        <v>26778</v>
      </c>
      <c r="D48" s="40">
        <f t="shared" si="0"/>
        <v>207.13180693069307</v>
      </c>
      <c r="E48" s="41"/>
      <c r="F48" s="41"/>
      <c r="G48" s="41"/>
      <c r="H48" s="49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4"/>
    </row>
    <row r="49" spans="1:26" ht="21.75">
      <c r="A49" s="39">
        <v>2014</v>
      </c>
      <c r="B49" s="42" t="s">
        <v>451</v>
      </c>
      <c r="C49" s="43">
        <v>27513</v>
      </c>
      <c r="D49" s="40">
        <f t="shared" si="0"/>
        <v>212.81714108910893</v>
      </c>
      <c r="E49" s="42"/>
      <c r="F49" s="42"/>
      <c r="G49" s="42"/>
      <c r="H49" s="48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4"/>
    </row>
    <row r="50" spans="1:26">
      <c r="A50" s="39">
        <v>2015</v>
      </c>
      <c r="B50" s="41">
        <v>22439</v>
      </c>
      <c r="C50" s="40">
        <v>28222</v>
      </c>
      <c r="D50" s="40">
        <f t="shared" si="0"/>
        <v>218.30136138613861</v>
      </c>
      <c r="E50" s="41"/>
      <c r="F50" s="41"/>
      <c r="G50" s="41"/>
      <c r="H50" s="49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4"/>
    </row>
    <row r="51" spans="1:26">
      <c r="A51" s="39">
        <v>2016</v>
      </c>
      <c r="B51" s="41">
        <v>23091</v>
      </c>
      <c r="C51" s="40">
        <v>28518</v>
      </c>
      <c r="D51" s="40">
        <f t="shared" si="0"/>
        <v>220.59096534653463</v>
      </c>
      <c r="E51" s="41"/>
      <c r="F51" s="41"/>
      <c r="G51" s="41"/>
      <c r="H51" s="49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4"/>
    </row>
    <row r="52" spans="1:26">
      <c r="A52" s="39">
        <v>2017</v>
      </c>
      <c r="B52" s="41">
        <v>23833</v>
      </c>
      <c r="C52" s="40">
        <v>28785</v>
      </c>
      <c r="D52" s="40">
        <f t="shared" si="0"/>
        <v>222.65625</v>
      </c>
      <c r="E52" s="41"/>
      <c r="F52" s="41"/>
      <c r="G52" s="41"/>
      <c r="H52" s="49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4"/>
    </row>
    <row r="53" spans="1:26">
      <c r="A53" s="39">
        <v>2018</v>
      </c>
      <c r="B53" s="41">
        <v>24619</v>
      </c>
      <c r="C53" s="40">
        <v>29131</v>
      </c>
      <c r="D53" s="40">
        <f t="shared" si="0"/>
        <v>225.33261138613861</v>
      </c>
      <c r="E53" s="41"/>
      <c r="F53" s="41"/>
      <c r="G53" s="41"/>
      <c r="H53" s="49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4"/>
    </row>
    <row r="54" spans="1:26" ht="21.75">
      <c r="A54" s="39">
        <v>2019</v>
      </c>
      <c r="B54" s="42" t="s">
        <v>452</v>
      </c>
      <c r="C54" s="43">
        <v>29452</v>
      </c>
      <c r="D54" s="40">
        <f t="shared" si="0"/>
        <v>227.81559405940595</v>
      </c>
      <c r="E54" s="42"/>
      <c r="F54" s="42"/>
      <c r="G54" s="42"/>
      <c r="H54" s="48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4"/>
    </row>
    <row r="55" spans="1:26">
      <c r="A55" s="39">
        <v>2020</v>
      </c>
      <c r="B55" s="41">
        <v>25906</v>
      </c>
      <c r="C55" s="40">
        <v>29503</v>
      </c>
      <c r="D55" s="40">
        <f t="shared" si="0"/>
        <v>228.21008663366337</v>
      </c>
      <c r="E55" s="41"/>
      <c r="F55" s="41"/>
      <c r="G55" s="41"/>
      <c r="H55" s="49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4"/>
    </row>
    <row r="56" spans="1:26">
      <c r="A56" s="39">
        <v>2021</v>
      </c>
      <c r="B56" s="41">
        <v>26858</v>
      </c>
      <c r="C56" s="40">
        <v>28539</v>
      </c>
      <c r="D56" s="40">
        <f t="shared" si="0"/>
        <v>220.75340346534654</v>
      </c>
      <c r="E56" s="41"/>
      <c r="F56" s="41"/>
      <c r="G56" s="41"/>
      <c r="H56" s="49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4"/>
    </row>
    <row r="57" spans="1:26">
      <c r="A57" s="39">
        <v>2022</v>
      </c>
      <c r="B57" s="41">
        <v>27673</v>
      </c>
      <c r="C57" s="40">
        <v>27673</v>
      </c>
      <c r="D57" s="40">
        <f t="shared" si="0"/>
        <v>214.05476485148515</v>
      </c>
      <c r="E57" s="41"/>
      <c r="F57" s="41"/>
      <c r="G57" s="41"/>
      <c r="H57" s="49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4"/>
    </row>
    <row r="58" spans="1:26">
      <c r="A58" s="38"/>
      <c r="B58" s="38"/>
      <c r="C58" s="38"/>
      <c r="D58" s="38"/>
      <c r="E58" s="38"/>
      <c r="F58" s="38"/>
      <c r="G58" s="38"/>
      <c r="H58" s="45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44"/>
    </row>
    <row r="59" spans="1:26">
      <c r="A59" s="44"/>
      <c r="B59" s="44"/>
      <c r="C59" s="44"/>
      <c r="D59" s="44"/>
      <c r="E59" s="44"/>
      <c r="F59" s="44"/>
      <c r="G59" s="44"/>
      <c r="H59" s="50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spans="1:26"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spans="1:26"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B7662-52A0-47ED-92DE-58A97F232398}">
  <dimension ref="A1:G46"/>
  <sheetViews>
    <sheetView topLeftCell="F1" workbookViewId="0">
      <selection activeCell="E1" sqref="E1"/>
    </sheetView>
  </sheetViews>
  <sheetFormatPr defaultRowHeight="15"/>
  <sheetData>
    <row r="1" spans="1:7">
      <c r="A1" s="8" t="s">
        <v>433</v>
      </c>
      <c r="B1" s="8" t="s">
        <v>453</v>
      </c>
      <c r="C1" s="8" t="s">
        <v>454</v>
      </c>
      <c r="D1" s="8" t="s">
        <v>455</v>
      </c>
      <c r="E1" s="8" t="s">
        <v>456</v>
      </c>
      <c r="F1" s="8" t="s">
        <v>457</v>
      </c>
      <c r="G1" s="8" t="s">
        <v>458</v>
      </c>
    </row>
    <row r="2" spans="1:7">
      <c r="A2" s="8">
        <v>1940</v>
      </c>
      <c r="B2" s="8">
        <v>0.96599999999999997</v>
      </c>
      <c r="C2" s="8">
        <v>0.95799999999999996</v>
      </c>
      <c r="D2" s="8">
        <v>0.94099999999999995</v>
      </c>
      <c r="E2" s="8">
        <v>0.23899999999999999</v>
      </c>
      <c r="F2" s="8">
        <v>0.27700000000000002</v>
      </c>
      <c r="G2" s="8">
        <v>0.27600000000000002</v>
      </c>
    </row>
    <row r="3" spans="1:7">
      <c r="A3" s="8">
        <v>1941</v>
      </c>
      <c r="B3" s="8">
        <v>0.93</v>
      </c>
      <c r="C3" s="8">
        <v>0.92400000000000004</v>
      </c>
      <c r="D3" s="8">
        <v>0.91200000000000003</v>
      </c>
      <c r="E3" s="8">
        <v>0.22800000000000001</v>
      </c>
      <c r="F3" s="8">
        <v>0.24099999999999999</v>
      </c>
      <c r="G3" s="8">
        <v>0.20399999999999999</v>
      </c>
    </row>
    <row r="4" spans="1:7">
      <c r="A4" s="8">
        <v>1942</v>
      </c>
      <c r="B4" s="8">
        <v>0.93799999999999994</v>
      </c>
      <c r="C4" s="8">
        <v>0.92200000000000004</v>
      </c>
      <c r="D4" s="8">
        <v>0.89900000000000002</v>
      </c>
      <c r="E4" s="8">
        <v>0.247</v>
      </c>
      <c r="F4" s="8">
        <v>0.27600000000000002</v>
      </c>
      <c r="G4" s="8">
        <v>0.27900000000000003</v>
      </c>
    </row>
    <row r="5" spans="1:7">
      <c r="A5" s="8">
        <v>1943</v>
      </c>
      <c r="B5" s="8">
        <v>0.94499999999999995</v>
      </c>
      <c r="C5" s="8">
        <v>0.93500000000000005</v>
      </c>
      <c r="D5" s="8">
        <v>0.90400000000000003</v>
      </c>
      <c r="E5" s="8">
        <v>0.23100000000000001</v>
      </c>
      <c r="F5" s="8">
        <v>0.27400000000000002</v>
      </c>
      <c r="G5" s="8">
        <v>0.25600000000000001</v>
      </c>
    </row>
    <row r="6" spans="1:7">
      <c r="A6" s="8">
        <v>1944</v>
      </c>
      <c r="B6" s="8">
        <v>0.94099999999999995</v>
      </c>
      <c r="C6" s="8">
        <v>0.93600000000000005</v>
      </c>
      <c r="D6" s="8">
        <v>0.90400000000000003</v>
      </c>
      <c r="E6" s="8">
        <v>0.29099999999999998</v>
      </c>
      <c r="F6" s="8">
        <v>0.33400000000000002</v>
      </c>
      <c r="G6" s="8">
        <v>0.32800000000000001</v>
      </c>
    </row>
    <row r="7" spans="1:7">
      <c r="A7" s="8">
        <v>1945</v>
      </c>
      <c r="B7" s="8">
        <v>0.91900000000000004</v>
      </c>
      <c r="C7" s="8">
        <v>0.91200000000000003</v>
      </c>
      <c r="D7" s="8">
        <v>0.88</v>
      </c>
      <c r="E7" s="8">
        <v>0.29599999999999999</v>
      </c>
      <c r="F7" s="8">
        <v>0.32</v>
      </c>
      <c r="G7" s="8">
        <v>0.29099999999999998</v>
      </c>
    </row>
    <row r="8" spans="1:7">
      <c r="A8" s="8">
        <v>1946</v>
      </c>
      <c r="B8" s="8">
        <v>0.91800000000000004</v>
      </c>
      <c r="C8" s="8">
        <v>0.90200000000000002</v>
      </c>
      <c r="D8" s="8">
        <v>0.86499999999999999</v>
      </c>
      <c r="E8" s="8">
        <v>0.32400000000000001</v>
      </c>
      <c r="F8" s="8">
        <v>0.34399999999999997</v>
      </c>
      <c r="G8" s="8">
        <v>0.33700000000000002</v>
      </c>
    </row>
    <row r="9" spans="1:7">
      <c r="A9" s="8">
        <v>1947</v>
      </c>
      <c r="B9" s="8">
        <v>0.89200000000000002</v>
      </c>
      <c r="C9" s="8">
        <v>0.879</v>
      </c>
      <c r="D9" s="8">
        <v>0.84499999999999997</v>
      </c>
      <c r="E9" s="8">
        <v>0.34200000000000003</v>
      </c>
      <c r="F9" s="8">
        <v>0.36499999999999999</v>
      </c>
      <c r="G9" s="8">
        <v>0.316</v>
      </c>
    </row>
    <row r="10" spans="1:7">
      <c r="A10" s="8">
        <v>1948</v>
      </c>
      <c r="B10" s="8">
        <v>0.90800000000000003</v>
      </c>
      <c r="C10" s="8">
        <v>0.86899999999999999</v>
      </c>
      <c r="D10" s="8">
        <v>0.82</v>
      </c>
      <c r="E10" s="8">
        <v>0.32500000000000001</v>
      </c>
      <c r="F10" s="8">
        <v>0.34699999999999998</v>
      </c>
      <c r="G10" s="8">
        <v>0.26800000000000002</v>
      </c>
    </row>
    <row r="11" spans="1:7">
      <c r="A11" s="8">
        <v>1949</v>
      </c>
      <c r="B11" s="8">
        <v>0.876</v>
      </c>
      <c r="C11" s="8">
        <v>0.83499999999999996</v>
      </c>
      <c r="D11" s="8">
        <v>0.76700000000000002</v>
      </c>
      <c r="E11" s="8">
        <v>0.33</v>
      </c>
      <c r="F11" s="8">
        <v>0.34399999999999997</v>
      </c>
      <c r="G11" s="8">
        <v>0.251</v>
      </c>
    </row>
    <row r="12" spans="1:7">
      <c r="A12" s="8">
        <v>1950</v>
      </c>
      <c r="B12" s="8">
        <v>0.85299999999999998</v>
      </c>
      <c r="C12" s="8">
        <v>0.82499999999999996</v>
      </c>
      <c r="D12" s="8">
        <v>0.76200000000000001</v>
      </c>
      <c r="E12" s="8">
        <v>0.377</v>
      </c>
      <c r="F12" s="8">
        <v>0.36199999999999999</v>
      </c>
      <c r="G12" s="8">
        <v>0.26900000000000002</v>
      </c>
    </row>
    <row r="13" spans="1:7">
      <c r="A13" s="8">
        <v>1951</v>
      </c>
      <c r="B13" s="8">
        <v>0.83</v>
      </c>
      <c r="C13" s="8">
        <v>0.77900000000000003</v>
      </c>
      <c r="D13" s="8">
        <v>0.69799999999999995</v>
      </c>
      <c r="E13" s="8">
        <v>0.36199999999999999</v>
      </c>
      <c r="F13" s="8">
        <v>0.32600000000000001</v>
      </c>
      <c r="G13" s="8">
        <v>0.2</v>
      </c>
    </row>
    <row r="14" spans="1:7">
      <c r="A14" s="8">
        <v>1952</v>
      </c>
      <c r="B14" s="8">
        <v>0.76600000000000001</v>
      </c>
      <c r="C14" s="8">
        <v>0.72099999999999997</v>
      </c>
      <c r="D14" s="8">
        <v>0.59399999999999997</v>
      </c>
      <c r="E14" s="8">
        <v>0.32600000000000001</v>
      </c>
      <c r="F14" s="8">
        <v>0.28399999999999997</v>
      </c>
      <c r="G14" s="8">
        <v>0.185</v>
      </c>
    </row>
    <row r="15" spans="1:7">
      <c r="A15" s="8">
        <v>1953</v>
      </c>
      <c r="B15" s="8">
        <v>0.74199999999999999</v>
      </c>
      <c r="C15" s="8">
        <v>0.64300000000000002</v>
      </c>
      <c r="D15" s="8">
        <v>0.55500000000000005</v>
      </c>
      <c r="E15" s="8">
        <v>0.317</v>
      </c>
      <c r="F15" s="8">
        <v>0.27</v>
      </c>
      <c r="G15" s="8">
        <v>0.17299999999999999</v>
      </c>
    </row>
    <row r="16" spans="1:7">
      <c r="A16" s="8">
        <v>1954</v>
      </c>
      <c r="B16" s="8">
        <v>0.69599999999999995</v>
      </c>
      <c r="C16" s="8">
        <v>0.61099999999999999</v>
      </c>
      <c r="D16" s="8">
        <v>0.53600000000000003</v>
      </c>
      <c r="E16" s="8">
        <v>0.308</v>
      </c>
      <c r="F16" s="8">
        <v>0.26200000000000001</v>
      </c>
      <c r="G16" s="8">
        <v>0.183</v>
      </c>
    </row>
    <row r="17" spans="1:7">
      <c r="A17" s="8">
        <v>1955</v>
      </c>
      <c r="B17" s="8">
        <v>0.70099999999999996</v>
      </c>
      <c r="C17" s="8">
        <v>0.622</v>
      </c>
      <c r="D17" s="8">
        <v>0.54800000000000004</v>
      </c>
      <c r="E17" s="8">
        <v>0.309</v>
      </c>
      <c r="F17" s="8">
        <v>0.26700000000000002</v>
      </c>
      <c r="G17" s="8">
        <v>0.18099999999999999</v>
      </c>
    </row>
    <row r="18" spans="1:7">
      <c r="A18" s="8">
        <v>1956</v>
      </c>
      <c r="B18" s="8">
        <v>0.68300000000000005</v>
      </c>
      <c r="C18" s="8">
        <v>0.59199999999999997</v>
      </c>
      <c r="D18" s="8">
        <v>0.51500000000000001</v>
      </c>
      <c r="E18" s="8">
        <v>0.29399999999999998</v>
      </c>
      <c r="F18" s="8">
        <v>0.22800000000000001</v>
      </c>
      <c r="G18" s="8">
        <v>0.18099999999999999</v>
      </c>
    </row>
    <row r="19" spans="1:7">
      <c r="A19" s="8">
        <v>1957</v>
      </c>
      <c r="B19" s="8">
        <v>0.67200000000000004</v>
      </c>
      <c r="C19" s="8">
        <v>0.60499999999999998</v>
      </c>
      <c r="D19" s="8">
        <v>0.52900000000000003</v>
      </c>
      <c r="E19" s="8">
        <v>0.309</v>
      </c>
      <c r="F19" s="8">
        <v>0.248</v>
      </c>
      <c r="G19" s="8">
        <v>0.188</v>
      </c>
    </row>
    <row r="20" spans="1:7">
      <c r="A20" s="8">
        <v>1958</v>
      </c>
      <c r="B20" s="8">
        <v>0.66100000000000003</v>
      </c>
      <c r="C20" s="8">
        <v>0.60199999999999998</v>
      </c>
      <c r="D20" s="8">
        <v>0.50600000000000001</v>
      </c>
      <c r="E20" s="8">
        <v>0.29499999999999998</v>
      </c>
      <c r="F20" s="8">
        <v>0.26200000000000001</v>
      </c>
      <c r="G20" s="8">
        <v>0.18</v>
      </c>
    </row>
    <row r="21" spans="1:7">
      <c r="A21" s="8">
        <v>1959</v>
      </c>
      <c r="B21" s="8">
        <v>0.64200000000000002</v>
      </c>
      <c r="C21" s="8">
        <v>0.58199999999999996</v>
      </c>
      <c r="D21" s="8">
        <v>0.47499999999999998</v>
      </c>
      <c r="E21" s="8">
        <v>0.25800000000000001</v>
      </c>
      <c r="F21" s="8">
        <v>0.23200000000000001</v>
      </c>
      <c r="G21" s="8">
        <v>0.16300000000000001</v>
      </c>
    </row>
    <row r="22" spans="1:7">
      <c r="A22" s="8">
        <v>1960</v>
      </c>
      <c r="B22" s="8">
        <v>0.61499999999999999</v>
      </c>
      <c r="C22" s="8">
        <v>0.53300000000000003</v>
      </c>
      <c r="D22" s="8">
        <v>0.438</v>
      </c>
      <c r="E22" s="8">
        <v>0.25</v>
      </c>
      <c r="F22" s="8">
        <v>0.214</v>
      </c>
      <c r="G22" s="8">
        <v>0.158</v>
      </c>
    </row>
    <row r="23" spans="1:7">
      <c r="A23" s="8">
        <v>1961</v>
      </c>
      <c r="B23" s="8">
        <v>0.53500000000000003</v>
      </c>
      <c r="C23" s="8">
        <v>0.47399999999999998</v>
      </c>
      <c r="D23" s="8">
        <v>0.379</v>
      </c>
      <c r="E23" s="8">
        <v>0.26300000000000001</v>
      </c>
      <c r="F23" s="8">
        <v>0.21199999999999999</v>
      </c>
      <c r="G23" s="8">
        <v>0.14599999999999999</v>
      </c>
    </row>
    <row r="24" spans="1:7">
      <c r="A24" s="8">
        <v>1962</v>
      </c>
      <c r="B24" s="8">
        <v>0.56399999999999995</v>
      </c>
      <c r="C24" s="8">
        <v>0.47099999999999997</v>
      </c>
      <c r="D24" s="8">
        <v>0.34</v>
      </c>
      <c r="E24" s="8">
        <v>0.254</v>
      </c>
      <c r="F24" s="8">
        <v>0.193</v>
      </c>
      <c r="G24" s="8">
        <v>0.13300000000000001</v>
      </c>
    </row>
    <row r="25" spans="1:7">
      <c r="A25" s="8">
        <v>1963</v>
      </c>
      <c r="B25" s="8">
        <v>0.47599999999999998</v>
      </c>
      <c r="C25" s="8">
        <v>0.45800000000000002</v>
      </c>
      <c r="D25" s="8">
        <v>0.33300000000000002</v>
      </c>
      <c r="E25" s="8">
        <v>0.23499999999999999</v>
      </c>
      <c r="F25" s="8">
        <v>0.20200000000000001</v>
      </c>
      <c r="G25" s="8">
        <v>0.114</v>
      </c>
    </row>
    <row r="26" spans="1:7">
      <c r="A26" s="8">
        <v>1964</v>
      </c>
      <c r="B26" s="8">
        <v>0.51100000000000001</v>
      </c>
      <c r="C26" s="8">
        <v>0.41299999999999998</v>
      </c>
      <c r="D26" s="8">
        <v>0.31</v>
      </c>
      <c r="E26" s="8">
        <v>0.254</v>
      </c>
      <c r="F26" s="8">
        <v>0.192</v>
      </c>
      <c r="G26" s="8">
        <v>0.115</v>
      </c>
    </row>
    <row r="27" spans="1:7">
      <c r="A27" s="8">
        <v>1965</v>
      </c>
      <c r="B27" s="8">
        <v>0.55000000000000004</v>
      </c>
      <c r="C27" s="8">
        <v>0.46100000000000002</v>
      </c>
      <c r="D27" s="8">
        <v>0.32</v>
      </c>
      <c r="E27" s="8">
        <v>0.28000000000000003</v>
      </c>
      <c r="F27" s="8">
        <v>0.20499999999999999</v>
      </c>
      <c r="G27" s="8">
        <v>0.123</v>
      </c>
    </row>
    <row r="28" spans="1:7">
      <c r="A28" s="8">
        <v>1966</v>
      </c>
      <c r="B28" s="8">
        <v>0.55500000000000005</v>
      </c>
      <c r="C28" s="8">
        <v>0.44500000000000001</v>
      </c>
      <c r="D28" s="8">
        <v>0.33400000000000002</v>
      </c>
      <c r="E28" s="8">
        <v>0.25800000000000001</v>
      </c>
      <c r="F28" s="8">
        <v>0.183</v>
      </c>
      <c r="G28" s="8">
        <v>0.125</v>
      </c>
    </row>
    <row r="29" spans="1:7">
      <c r="A29" s="8">
        <v>1967</v>
      </c>
      <c r="B29" s="8">
        <v>0.56699999999999995</v>
      </c>
      <c r="C29" s="8">
        <v>0.45</v>
      </c>
      <c r="D29" s="8">
        <v>0.32500000000000001</v>
      </c>
      <c r="E29" s="8">
        <v>0.249</v>
      </c>
      <c r="F29" s="8">
        <v>0.16</v>
      </c>
      <c r="G29" s="8">
        <v>0.105</v>
      </c>
    </row>
    <row r="30" spans="1:7">
      <c r="A30" s="8">
        <v>1968</v>
      </c>
      <c r="B30" s="8">
        <v>0.626</v>
      </c>
      <c r="C30" s="8">
        <v>0.439</v>
      </c>
      <c r="D30" s="8">
        <v>0.36299999999999999</v>
      </c>
      <c r="E30" s="8">
        <v>0.28899999999999998</v>
      </c>
      <c r="F30" s="8">
        <v>0.19800000000000001</v>
      </c>
      <c r="G30" s="8">
        <v>0.14899999999999999</v>
      </c>
    </row>
    <row r="31" spans="1:7">
      <c r="A31" s="8">
        <v>1969</v>
      </c>
      <c r="B31" s="8">
        <v>0.57299999999999995</v>
      </c>
      <c r="C31" s="8">
        <v>0.442</v>
      </c>
      <c r="D31" s="8">
        <v>0.33500000000000002</v>
      </c>
      <c r="E31" s="8">
        <v>0.27900000000000003</v>
      </c>
      <c r="F31" s="8">
        <v>0.16900000000000001</v>
      </c>
      <c r="G31" s="8">
        <v>0.112</v>
      </c>
    </row>
    <row r="32" spans="1:7">
      <c r="A32" s="8">
        <v>1970</v>
      </c>
      <c r="B32" s="8">
        <v>0.60199999999999998</v>
      </c>
      <c r="C32" s="8">
        <v>0.51</v>
      </c>
      <c r="D32" s="8">
        <v>0.41299999999999998</v>
      </c>
      <c r="E32" s="8">
        <v>0.28899999999999998</v>
      </c>
      <c r="F32" s="8">
        <v>0.20799999999999999</v>
      </c>
      <c r="G32" s="8">
        <v>0.152</v>
      </c>
    </row>
    <row r="33" spans="1:7">
      <c r="A33" s="8">
        <v>1971</v>
      </c>
      <c r="B33" s="8">
        <v>0.59699999999999998</v>
      </c>
      <c r="C33" s="8">
        <v>0.47799999999999998</v>
      </c>
      <c r="D33" s="8">
        <v>0.371</v>
      </c>
      <c r="E33" s="8">
        <v>0.35199999999999998</v>
      </c>
      <c r="F33" s="8">
        <v>0.25800000000000001</v>
      </c>
      <c r="G33" s="8">
        <v>0.187</v>
      </c>
    </row>
    <row r="34" spans="1:7">
      <c r="A34" s="8">
        <v>1972</v>
      </c>
      <c r="B34" s="8">
        <v>0.58799999999999997</v>
      </c>
      <c r="C34" s="8">
        <v>0.45400000000000001</v>
      </c>
      <c r="D34" s="8">
        <v>0.372</v>
      </c>
      <c r="E34" s="8">
        <v>0.32200000000000001</v>
      </c>
      <c r="F34" s="8">
        <v>0.217</v>
      </c>
      <c r="G34" s="8">
        <v>0.17699999999999999</v>
      </c>
    </row>
    <row r="35" spans="1:7">
      <c r="A35" s="8">
        <v>1973</v>
      </c>
      <c r="B35" s="8">
        <v>0.58599999999999997</v>
      </c>
      <c r="C35" s="8">
        <v>0.46899999999999997</v>
      </c>
      <c r="D35" s="8">
        <v>0.371</v>
      </c>
      <c r="E35" s="8">
        <v>0.30499999999999999</v>
      </c>
      <c r="F35" s="8">
        <v>0.22</v>
      </c>
      <c r="G35" s="8">
        <v>0.17</v>
      </c>
    </row>
    <row r="36" spans="1:7">
      <c r="A36" s="8">
        <v>1974</v>
      </c>
      <c r="B36" s="8">
        <v>0.51900000000000002</v>
      </c>
      <c r="C36" s="8">
        <v>0.42</v>
      </c>
      <c r="D36" s="8">
        <v>0.312</v>
      </c>
      <c r="E36" s="8">
        <v>0.34699999999999998</v>
      </c>
      <c r="F36" s="8">
        <v>0.24099999999999999</v>
      </c>
      <c r="G36" s="8">
        <v>0.161</v>
      </c>
    </row>
    <row r="37" spans="1:7">
      <c r="A37" s="8">
        <v>1975</v>
      </c>
      <c r="B37" s="8">
        <v>0.57599999999999996</v>
      </c>
      <c r="C37" s="8">
        <v>0.46200000000000002</v>
      </c>
      <c r="D37" s="8">
        <v>0.34699999999999998</v>
      </c>
      <c r="E37" s="8">
        <v>0.33900000000000002</v>
      </c>
      <c r="F37" s="8">
        <v>0.222</v>
      </c>
      <c r="G37" s="8">
        <v>0.124</v>
      </c>
    </row>
    <row r="38" spans="1:7">
      <c r="A38" s="8">
        <v>1976</v>
      </c>
      <c r="B38" s="8">
        <v>0.46600000000000003</v>
      </c>
      <c r="C38" s="8">
        <v>0.378</v>
      </c>
      <c r="D38" s="8">
        <v>0.27200000000000002</v>
      </c>
      <c r="E38" s="8">
        <v>0.32700000000000001</v>
      </c>
      <c r="F38" s="8">
        <v>0.22500000000000001</v>
      </c>
      <c r="G38" s="8">
        <v>0.13</v>
      </c>
    </row>
    <row r="39" spans="1:7">
      <c r="A39" s="8">
        <v>1977</v>
      </c>
      <c r="B39" s="8">
        <v>0.54</v>
      </c>
      <c r="C39" s="8">
        <v>0.42699999999999999</v>
      </c>
      <c r="D39" s="8">
        <v>0.313</v>
      </c>
      <c r="E39" s="8">
        <v>0.31900000000000001</v>
      </c>
      <c r="F39" s="8">
        <v>0.25700000000000001</v>
      </c>
      <c r="G39" s="8">
        <v>0.17799999999999999</v>
      </c>
    </row>
    <row r="40" spans="1:7">
      <c r="A40" s="8">
        <v>1978</v>
      </c>
      <c r="B40" s="8">
        <v>0.54900000000000004</v>
      </c>
      <c r="C40" s="8">
        <v>0.42</v>
      </c>
      <c r="D40" s="8">
        <v>0.315</v>
      </c>
      <c r="E40" s="8">
        <v>0.30399999999999999</v>
      </c>
      <c r="F40" s="8">
        <v>0.21</v>
      </c>
      <c r="G40" s="8">
        <v>0.13600000000000001</v>
      </c>
    </row>
    <row r="41" spans="1:7">
      <c r="A41" s="8">
        <v>1979</v>
      </c>
      <c r="B41" s="8">
        <v>0.51500000000000001</v>
      </c>
      <c r="C41" s="8">
        <v>0.41199999999999998</v>
      </c>
      <c r="D41" s="8">
        <v>0.315</v>
      </c>
      <c r="E41" s="8">
        <v>0.29899999999999999</v>
      </c>
      <c r="F41" s="8">
        <v>0.224</v>
      </c>
      <c r="G41" s="8">
        <v>0.155</v>
      </c>
    </row>
    <row r="42" spans="1:7">
      <c r="A42" s="8">
        <v>1980</v>
      </c>
      <c r="B42" s="8">
        <v>0.48299999999999998</v>
      </c>
      <c r="C42" s="8">
        <v>0.38300000000000001</v>
      </c>
      <c r="D42" s="8">
        <v>0.26900000000000002</v>
      </c>
      <c r="E42" s="8">
        <v>0.29799999999999999</v>
      </c>
      <c r="F42" s="8">
        <v>0.223</v>
      </c>
      <c r="G42" s="8">
        <v>0.16600000000000001</v>
      </c>
    </row>
    <row r="43" spans="1:7">
      <c r="A43" s="8">
        <v>1981</v>
      </c>
      <c r="B43" s="8">
        <v>0.48299999999999998</v>
      </c>
      <c r="C43" s="8">
        <v>0.378</v>
      </c>
      <c r="D43" s="8">
        <v>0.30099999999999999</v>
      </c>
      <c r="E43" s="8">
        <v>0.32700000000000001</v>
      </c>
      <c r="F43" s="8">
        <v>0.22</v>
      </c>
      <c r="G43" s="8">
        <v>0.156</v>
      </c>
    </row>
    <row r="44" spans="1:7">
      <c r="A44" s="8">
        <v>1982</v>
      </c>
      <c r="B44" s="8">
        <v>0.50700000000000001</v>
      </c>
      <c r="C44" s="8">
        <v>0.40100000000000002</v>
      </c>
      <c r="D44" s="8">
        <v>0.32900000000000001</v>
      </c>
      <c r="E44" s="8">
        <v>0.32</v>
      </c>
      <c r="F44" s="8">
        <v>0.251</v>
      </c>
      <c r="G44" s="8">
        <v>0.16300000000000001</v>
      </c>
    </row>
    <row r="45" spans="1:7">
      <c r="A45" s="8">
        <v>1983</v>
      </c>
      <c r="B45" s="8">
        <v>0.48299999999999998</v>
      </c>
      <c r="C45" s="8">
        <v>0.38200000000000001</v>
      </c>
      <c r="D45" s="8">
        <v>0.32800000000000001</v>
      </c>
      <c r="E45" s="8">
        <v>0.318</v>
      </c>
      <c r="F45" s="8">
        <v>0.21</v>
      </c>
      <c r="G45" s="8">
        <v>0.14499999999999999</v>
      </c>
    </row>
    <row r="46" spans="1:7">
      <c r="A46" s="8">
        <v>1984</v>
      </c>
      <c r="B46" s="8">
        <v>0.48799999999999999</v>
      </c>
      <c r="C46" s="8">
        <v>0.38400000000000001</v>
      </c>
      <c r="D46" s="8">
        <v>0.26800000000000002</v>
      </c>
      <c r="E46" s="8">
        <v>0.29899999999999999</v>
      </c>
      <c r="F46" s="8">
        <v>0.20699999999999999</v>
      </c>
      <c r="G46" s="8">
        <v>0.13300000000000001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F3F9B-F201-490F-86B6-969A67F62B4D}">
  <dimension ref="A1:C50"/>
  <sheetViews>
    <sheetView workbookViewId="0">
      <selection activeCell="C2" sqref="C2"/>
    </sheetView>
  </sheetViews>
  <sheetFormatPr defaultRowHeight="15"/>
  <sheetData>
    <row r="1" spans="1:3">
      <c r="A1" t="s">
        <v>433</v>
      </c>
      <c r="B1" t="s">
        <v>459</v>
      </c>
      <c r="C1" t="s">
        <v>460</v>
      </c>
    </row>
    <row r="2" spans="1:3">
      <c r="A2">
        <v>1974</v>
      </c>
      <c r="B2">
        <v>26990</v>
      </c>
      <c r="C2">
        <f>B2 / 26390 * 100</f>
        <v>102.27358848048502</v>
      </c>
    </row>
    <row r="3" spans="1:3">
      <c r="A3">
        <v>1975</v>
      </c>
      <c r="B3">
        <v>26450</v>
      </c>
      <c r="C3">
        <f>B3 / 26390 * 100</f>
        <v>100.2273588480485</v>
      </c>
    </row>
    <row r="4" spans="1:3">
      <c r="A4">
        <v>1976</v>
      </c>
      <c r="B4">
        <v>26520</v>
      </c>
      <c r="C4">
        <f t="shared" ref="C3:C50" si="0">B4 / 26390 * 100</f>
        <v>100.49261083743843</v>
      </c>
    </row>
    <row r="5" spans="1:3">
      <c r="A5">
        <v>1977</v>
      </c>
      <c r="B5">
        <v>26680</v>
      </c>
      <c r="C5">
        <f t="shared" si="0"/>
        <v>101.09890109890109</v>
      </c>
    </row>
    <row r="6" spans="1:3">
      <c r="A6">
        <v>1978</v>
      </c>
      <c r="B6">
        <v>26460</v>
      </c>
      <c r="C6">
        <f t="shared" si="0"/>
        <v>100.26525198938991</v>
      </c>
    </row>
    <row r="7" spans="1:3">
      <c r="A7">
        <v>1979</v>
      </c>
      <c r="B7">
        <v>25730</v>
      </c>
      <c r="C7">
        <f t="shared" si="0"/>
        <v>97.499052671466472</v>
      </c>
    </row>
    <row r="8" spans="1:3">
      <c r="A8">
        <v>1980</v>
      </c>
      <c r="B8">
        <v>25380</v>
      </c>
      <c r="C8">
        <f t="shared" si="0"/>
        <v>96.172792724516867</v>
      </c>
    </row>
    <row r="9" spans="1:3">
      <c r="A9">
        <v>1981</v>
      </c>
      <c r="B9">
        <v>24880</v>
      </c>
      <c r="C9">
        <f t="shared" si="0"/>
        <v>94.278135657446001</v>
      </c>
    </row>
    <row r="10" spans="1:3">
      <c r="A10">
        <v>1982</v>
      </c>
      <c r="B10">
        <v>25140</v>
      </c>
      <c r="C10">
        <f t="shared" si="0"/>
        <v>95.263357332322855</v>
      </c>
    </row>
    <row r="11" spans="1:3">
      <c r="A11">
        <v>1983</v>
      </c>
      <c r="B11">
        <v>25650</v>
      </c>
      <c r="C11">
        <f t="shared" si="0"/>
        <v>97.195907540735121</v>
      </c>
    </row>
    <row r="12" spans="1:3">
      <c r="A12">
        <v>1984</v>
      </c>
      <c r="B12">
        <v>26390</v>
      </c>
      <c r="C12">
        <f>B12 / 26390 * 100</f>
        <v>100</v>
      </c>
    </row>
    <row r="13" spans="1:3">
      <c r="A13">
        <v>1985</v>
      </c>
      <c r="B13">
        <v>26970</v>
      </c>
      <c r="C13">
        <f t="shared" si="0"/>
        <v>102.19780219780219</v>
      </c>
    </row>
    <row r="14" spans="1:3">
      <c r="A14">
        <v>1986</v>
      </c>
      <c r="B14">
        <v>27830</v>
      </c>
      <c r="C14">
        <f t="shared" si="0"/>
        <v>105.45661235316408</v>
      </c>
    </row>
    <row r="15" spans="1:3">
      <c r="A15">
        <v>1987</v>
      </c>
      <c r="B15">
        <v>28220</v>
      </c>
      <c r="C15">
        <f t="shared" si="0"/>
        <v>106.93444486547934</v>
      </c>
    </row>
    <row r="16" spans="1:3">
      <c r="A16">
        <v>1988</v>
      </c>
      <c r="B16">
        <v>29080</v>
      </c>
      <c r="C16">
        <f t="shared" si="0"/>
        <v>110.19325502084124</v>
      </c>
    </row>
    <row r="17" spans="1:3">
      <c r="A17">
        <v>1989</v>
      </c>
      <c r="B17">
        <v>29840</v>
      </c>
      <c r="C17">
        <f t="shared" si="0"/>
        <v>113.07313376278894</v>
      </c>
    </row>
    <row r="18" spans="1:3">
      <c r="A18">
        <v>1990</v>
      </c>
      <c r="B18">
        <v>29540</v>
      </c>
      <c r="C18">
        <f t="shared" si="0"/>
        <v>111.93633952254642</v>
      </c>
    </row>
    <row r="19" spans="1:3">
      <c r="A19">
        <v>1991</v>
      </c>
      <c r="B19">
        <v>29110</v>
      </c>
      <c r="C19">
        <f t="shared" si="0"/>
        <v>110.30693444486548</v>
      </c>
    </row>
    <row r="20" spans="1:3">
      <c r="A20">
        <v>1992</v>
      </c>
      <c r="B20">
        <v>28800</v>
      </c>
      <c r="C20">
        <f t="shared" si="0"/>
        <v>109.13224706328155</v>
      </c>
    </row>
    <row r="21" spans="1:3">
      <c r="A21">
        <v>1993</v>
      </c>
      <c r="B21">
        <v>29100</v>
      </c>
      <c r="C21">
        <f t="shared" si="0"/>
        <v>110.26904130352406</v>
      </c>
    </row>
    <row r="22" spans="1:3">
      <c r="A22">
        <v>1994</v>
      </c>
      <c r="B22">
        <v>29430</v>
      </c>
      <c r="C22">
        <f t="shared" si="0"/>
        <v>111.51951496779083</v>
      </c>
    </row>
    <row r="23" spans="1:3">
      <c r="A23">
        <v>1995</v>
      </c>
      <c r="B23">
        <v>30250</v>
      </c>
      <c r="C23">
        <f t="shared" si="0"/>
        <v>114.62675255778704</v>
      </c>
    </row>
    <row r="24" spans="1:3">
      <c r="A24">
        <v>1996</v>
      </c>
      <c r="B24">
        <v>30900</v>
      </c>
      <c r="C24">
        <f t="shared" si="0"/>
        <v>117.08980674497916</v>
      </c>
    </row>
    <row r="25" spans="1:3">
      <c r="A25">
        <v>1997</v>
      </c>
      <c r="B25">
        <v>32260</v>
      </c>
      <c r="C25">
        <f t="shared" si="0"/>
        <v>122.24327396741191</v>
      </c>
    </row>
    <row r="26" spans="1:3">
      <c r="A26">
        <v>1998</v>
      </c>
      <c r="B26">
        <v>33850</v>
      </c>
      <c r="C26">
        <f t="shared" si="0"/>
        <v>128.26828344069722</v>
      </c>
    </row>
    <row r="27" spans="1:3">
      <c r="A27">
        <v>1999</v>
      </c>
      <c r="B27">
        <v>34220</v>
      </c>
      <c r="C27">
        <f t="shared" si="0"/>
        <v>129.67032967032966</v>
      </c>
    </row>
    <row r="28" spans="1:3">
      <c r="A28">
        <v>2000</v>
      </c>
      <c r="B28">
        <v>34570</v>
      </c>
      <c r="C28">
        <f t="shared" si="0"/>
        <v>130.99658961727926</v>
      </c>
    </row>
    <row r="29" spans="1:3">
      <c r="A29">
        <v>2001</v>
      </c>
      <c r="B29">
        <v>34470</v>
      </c>
      <c r="C29">
        <f t="shared" si="0"/>
        <v>130.61765820386512</v>
      </c>
    </row>
    <row r="30" spans="1:3">
      <c r="A30">
        <v>2002</v>
      </c>
      <c r="B30">
        <v>34330</v>
      </c>
      <c r="C30">
        <f t="shared" si="0"/>
        <v>130.08715422508524</v>
      </c>
    </row>
    <row r="31" spans="1:3">
      <c r="A31">
        <v>2003</v>
      </c>
      <c r="B31">
        <v>34470</v>
      </c>
      <c r="C31">
        <f t="shared" si="0"/>
        <v>130.61765820386512</v>
      </c>
    </row>
    <row r="32" spans="1:3">
      <c r="A32">
        <v>2004</v>
      </c>
      <c r="B32">
        <v>34430</v>
      </c>
      <c r="C32">
        <f t="shared" si="0"/>
        <v>130.46608563849944</v>
      </c>
    </row>
    <row r="33" spans="1:3">
      <c r="A33">
        <v>2005</v>
      </c>
      <c r="B33">
        <v>35070</v>
      </c>
      <c r="C33">
        <f t="shared" si="0"/>
        <v>132.89124668435014</v>
      </c>
    </row>
    <row r="34" spans="1:3">
      <c r="A34">
        <v>2006</v>
      </c>
      <c r="B34">
        <v>36140</v>
      </c>
      <c r="C34">
        <f t="shared" si="0"/>
        <v>136.94581280788179</v>
      </c>
    </row>
    <row r="35" spans="1:3">
      <c r="A35">
        <v>2007</v>
      </c>
      <c r="B35">
        <v>36370</v>
      </c>
      <c r="C35">
        <f t="shared" si="0"/>
        <v>137.81735505873436</v>
      </c>
    </row>
    <row r="36" spans="1:3">
      <c r="A36">
        <v>2008</v>
      </c>
      <c r="B36">
        <v>34930</v>
      </c>
      <c r="C36">
        <f t="shared" si="0"/>
        <v>132.36074270557029</v>
      </c>
    </row>
    <row r="37" spans="1:3">
      <c r="A37">
        <v>2009</v>
      </c>
      <c r="B37">
        <v>34570</v>
      </c>
      <c r="C37">
        <f t="shared" si="0"/>
        <v>130.99658961727926</v>
      </c>
    </row>
    <row r="38" spans="1:3">
      <c r="A38">
        <v>2010</v>
      </c>
      <c r="B38">
        <v>34160</v>
      </c>
      <c r="C38">
        <f t="shared" si="0"/>
        <v>129.44297082228118</v>
      </c>
    </row>
    <row r="39" spans="1:3">
      <c r="A39">
        <v>2011</v>
      </c>
      <c r="B39">
        <v>33650</v>
      </c>
      <c r="C39">
        <f t="shared" si="0"/>
        <v>127.51042061386887</v>
      </c>
    </row>
    <row r="40" spans="1:3">
      <c r="A40">
        <v>2012</v>
      </c>
      <c r="B40">
        <v>33510</v>
      </c>
      <c r="C40">
        <f t="shared" si="0"/>
        <v>126.97991663508905</v>
      </c>
    </row>
    <row r="41" spans="1:3">
      <c r="A41">
        <v>2013</v>
      </c>
      <c r="B41">
        <v>33950</v>
      </c>
      <c r="C41">
        <f t="shared" si="0"/>
        <v>128.64721485411141</v>
      </c>
    </row>
    <row r="42" spans="1:3">
      <c r="A42">
        <v>2014</v>
      </c>
      <c r="B42">
        <v>34780</v>
      </c>
      <c r="C42">
        <f t="shared" si="0"/>
        <v>131.79234558544903</v>
      </c>
    </row>
    <row r="43" spans="1:3">
      <c r="A43">
        <v>2015</v>
      </c>
      <c r="B43">
        <v>36610</v>
      </c>
      <c r="C43">
        <f t="shared" si="0"/>
        <v>138.72679045092838</v>
      </c>
    </row>
    <row r="44" spans="1:3">
      <c r="A44">
        <v>2016</v>
      </c>
      <c r="B44">
        <v>37310</v>
      </c>
      <c r="C44">
        <f t="shared" si="0"/>
        <v>141.37931034482759</v>
      </c>
    </row>
    <row r="45" spans="1:3">
      <c r="A45">
        <v>2017</v>
      </c>
      <c r="B45">
        <v>37690</v>
      </c>
      <c r="C45">
        <f t="shared" si="0"/>
        <v>142.81924971580145</v>
      </c>
    </row>
    <row r="46" spans="1:3">
      <c r="A46">
        <v>2018</v>
      </c>
      <c r="B46">
        <v>38960</v>
      </c>
      <c r="C46">
        <f t="shared" si="0"/>
        <v>147.63167866616143</v>
      </c>
    </row>
    <row r="47" spans="1:3">
      <c r="A47">
        <v>2019</v>
      </c>
      <c r="B47">
        <v>40980</v>
      </c>
      <c r="C47">
        <f t="shared" si="0"/>
        <v>155.2860932171277</v>
      </c>
    </row>
    <row r="48" spans="1:3">
      <c r="A48">
        <v>2020</v>
      </c>
      <c r="B48">
        <v>40420</v>
      </c>
      <c r="C48">
        <f t="shared" si="0"/>
        <v>153.16407730200834</v>
      </c>
    </row>
    <row r="49" spans="1:3">
      <c r="A49">
        <v>2021</v>
      </c>
      <c r="B49">
        <v>40460</v>
      </c>
      <c r="C49">
        <f t="shared" si="0"/>
        <v>153.31564986737399</v>
      </c>
    </row>
    <row r="50" spans="1:3">
      <c r="A50">
        <v>2022</v>
      </c>
      <c r="B50">
        <v>40480</v>
      </c>
      <c r="C50">
        <f t="shared" si="0"/>
        <v>153.39143615005685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CAD60-06EF-4F70-9C42-B93F9D621199}">
  <dimension ref="A1:C84"/>
  <sheetViews>
    <sheetView workbookViewId="0"/>
  </sheetViews>
  <sheetFormatPr defaultRowHeight="15"/>
  <sheetData>
    <row r="1" spans="1:3">
      <c r="A1" s="52" t="s">
        <v>433</v>
      </c>
      <c r="B1" s="52" t="s">
        <v>461</v>
      </c>
      <c r="C1" s="44"/>
    </row>
    <row r="2" spans="1:3">
      <c r="A2" s="52">
        <v>1947</v>
      </c>
      <c r="B2" s="52">
        <v>7.4</v>
      </c>
      <c r="C2" s="44"/>
    </row>
    <row r="3" spans="1:3">
      <c r="A3" s="52">
        <v>1948</v>
      </c>
      <c r="B3" s="52">
        <v>6.9</v>
      </c>
      <c r="C3" s="44"/>
    </row>
    <row r="4" spans="1:3">
      <c r="A4" s="52">
        <v>1949</v>
      </c>
      <c r="B4" s="52">
        <v>7.8</v>
      </c>
      <c r="C4" s="44"/>
    </row>
    <row r="5" spans="1:3">
      <c r="A5" s="52">
        <v>1950</v>
      </c>
      <c r="B5" s="52">
        <v>11.5</v>
      </c>
      <c r="C5" s="44"/>
    </row>
    <row r="6" spans="1:3">
      <c r="A6" s="52">
        <v>1951</v>
      </c>
      <c r="B6" s="52">
        <v>7.6</v>
      </c>
      <c r="C6" s="44"/>
    </row>
    <row r="7" spans="1:3">
      <c r="A7" s="52">
        <v>1952</v>
      </c>
      <c r="B7" s="52">
        <v>11.2</v>
      </c>
      <c r="C7" s="44"/>
    </row>
    <row r="8" spans="1:3">
      <c r="A8" s="52">
        <v>1953</v>
      </c>
      <c r="B8" s="52">
        <v>10.6</v>
      </c>
      <c r="C8" s="44"/>
    </row>
    <row r="9" spans="1:3">
      <c r="A9" s="52">
        <v>1954</v>
      </c>
      <c r="B9" s="52">
        <v>11.3</v>
      </c>
      <c r="C9" s="44"/>
    </row>
    <row r="10" spans="1:3">
      <c r="A10" s="52">
        <v>1955</v>
      </c>
      <c r="B10" s="52">
        <v>9.3000000000000007</v>
      </c>
      <c r="C10" s="44"/>
    </row>
    <row r="11" spans="1:3">
      <c r="A11" s="52">
        <v>1956</v>
      </c>
      <c r="B11" s="52">
        <v>10.6</v>
      </c>
      <c r="C11" s="44"/>
    </row>
    <row r="12" spans="1:3">
      <c r="A12" s="52">
        <v>1957</v>
      </c>
      <c r="B12" s="52">
        <v>11.1</v>
      </c>
      <c r="C12" s="44"/>
    </row>
    <row r="13" spans="1:3">
      <c r="A13" s="52">
        <v>1958</v>
      </c>
      <c r="B13" s="52">
        <v>11.2</v>
      </c>
      <c r="C13" s="44"/>
    </row>
    <row r="14" spans="1:3">
      <c r="A14" s="52">
        <v>1959</v>
      </c>
      <c r="B14" s="52">
        <v>10.7</v>
      </c>
      <c r="C14" s="44"/>
    </row>
    <row r="15" spans="1:3">
      <c r="A15" s="52">
        <v>1960</v>
      </c>
      <c r="B15" s="52">
        <v>10.3</v>
      </c>
      <c r="C15" s="44"/>
    </row>
    <row r="16" spans="1:3">
      <c r="A16" s="52">
        <v>1961</v>
      </c>
      <c r="B16" s="52">
        <v>10.9</v>
      </c>
      <c r="C16" s="44"/>
    </row>
    <row r="17" spans="1:3">
      <c r="A17" s="52">
        <v>1962</v>
      </c>
      <c r="B17" s="52">
        <v>11.6</v>
      </c>
      <c r="C17" s="44"/>
    </row>
    <row r="18" spans="1:3">
      <c r="A18" s="52">
        <v>1963</v>
      </c>
      <c r="B18" s="52">
        <v>10.8</v>
      </c>
      <c r="C18" s="44"/>
    </row>
    <row r="19" spans="1:3">
      <c r="A19" s="52">
        <v>1964</v>
      </c>
      <c r="B19" s="52">
        <v>11.1</v>
      </c>
      <c r="C19" s="44"/>
    </row>
    <row r="20" spans="1:3">
      <c r="A20" s="52">
        <v>1965</v>
      </c>
      <c r="B20" s="52">
        <v>11.2</v>
      </c>
      <c r="C20" s="44"/>
    </row>
    <row r="21" spans="1:3">
      <c r="A21" s="52">
        <v>1966</v>
      </c>
      <c r="B21" s="52">
        <v>11</v>
      </c>
      <c r="C21" s="44"/>
    </row>
    <row r="22" spans="1:3">
      <c r="A22" s="52">
        <v>1967</v>
      </c>
      <c r="B22" s="52">
        <v>12.5</v>
      </c>
      <c r="C22" s="44"/>
    </row>
    <row r="23" spans="1:3">
      <c r="A23" s="52">
        <v>1968</v>
      </c>
      <c r="B23" s="52">
        <v>11.9</v>
      </c>
      <c r="C23" s="44"/>
    </row>
    <row r="24" spans="1:3">
      <c r="A24" s="52">
        <v>1969</v>
      </c>
      <c r="B24" s="52">
        <v>10.1</v>
      </c>
      <c r="C24" s="44"/>
    </row>
    <row r="25" spans="1:3">
      <c r="A25" s="52">
        <v>1970</v>
      </c>
      <c r="B25" s="52">
        <v>12</v>
      </c>
      <c r="C25" s="44"/>
    </row>
    <row r="26" spans="1:3">
      <c r="A26" s="52">
        <v>1971</v>
      </c>
      <c r="B26" s="52">
        <v>13.4</v>
      </c>
      <c r="C26" s="44"/>
    </row>
    <row r="27" spans="1:3">
      <c r="A27" s="52">
        <v>1972</v>
      </c>
      <c r="B27" s="52">
        <v>12.4</v>
      </c>
      <c r="C27" s="44"/>
    </row>
    <row r="28" spans="1:3">
      <c r="A28" s="52">
        <v>1973</v>
      </c>
      <c r="B28" s="52">
        <v>12.6</v>
      </c>
      <c r="C28" s="44"/>
    </row>
    <row r="29" spans="1:3">
      <c r="A29" s="52">
        <v>1974</v>
      </c>
      <c r="B29" s="52">
        <v>14</v>
      </c>
      <c r="C29" s="44"/>
    </row>
    <row r="30" spans="1:3">
      <c r="A30" s="52">
        <v>1975</v>
      </c>
      <c r="B30" s="52">
        <v>12.8</v>
      </c>
      <c r="C30" s="44"/>
    </row>
    <row r="31" spans="1:3">
      <c r="A31" s="52">
        <v>1976</v>
      </c>
      <c r="B31" s="52">
        <v>12.1</v>
      </c>
      <c r="C31" s="44"/>
    </row>
    <row r="32" spans="1:3">
      <c r="A32" s="52">
        <v>1977</v>
      </c>
      <c r="B32" s="52">
        <v>10.1</v>
      </c>
      <c r="C32" s="44"/>
    </row>
    <row r="33" spans="1:3">
      <c r="A33" s="52">
        <v>1978</v>
      </c>
      <c r="B33" s="52">
        <v>11.3</v>
      </c>
      <c r="C33" s="44"/>
    </row>
    <row r="34" spans="1:3">
      <c r="A34" s="52">
        <v>1979</v>
      </c>
      <c r="B34" s="52">
        <v>11.1</v>
      </c>
      <c r="C34" s="44"/>
    </row>
    <row r="35" spans="1:3">
      <c r="A35" s="52">
        <v>1980</v>
      </c>
      <c r="B35" s="52">
        <v>10.1</v>
      </c>
      <c r="C35" s="44"/>
    </row>
    <row r="36" spans="1:3">
      <c r="A36" s="52">
        <v>1981</v>
      </c>
      <c r="B36" s="52">
        <v>10.8</v>
      </c>
      <c r="C36" s="44"/>
    </row>
    <row r="37" spans="1:3">
      <c r="A37" s="52">
        <v>1982</v>
      </c>
      <c r="B37" s="52">
        <v>12.2</v>
      </c>
      <c r="C37" s="44"/>
    </row>
    <row r="38" spans="1:3">
      <c r="A38" s="52">
        <v>1983</v>
      </c>
      <c r="B38" s="52">
        <v>11</v>
      </c>
      <c r="C38" s="44"/>
    </row>
    <row r="39" spans="1:3">
      <c r="A39" s="52">
        <v>1984</v>
      </c>
      <c r="B39" s="52">
        <v>11</v>
      </c>
      <c r="C39" s="44"/>
    </row>
    <row r="40" spans="1:3">
      <c r="A40" s="52">
        <v>1985</v>
      </c>
      <c r="B40" s="52">
        <v>9.1999999999999993</v>
      </c>
      <c r="C40" s="44"/>
    </row>
    <row r="41" spans="1:3">
      <c r="A41" s="52">
        <v>1986</v>
      </c>
      <c r="B41" s="52">
        <v>9.3000000000000007</v>
      </c>
      <c r="C41" s="44"/>
    </row>
    <row r="42" spans="1:3">
      <c r="A42" s="52">
        <v>1987</v>
      </c>
      <c r="B42" s="52">
        <v>8.5</v>
      </c>
      <c r="C42" s="44"/>
    </row>
    <row r="43" spans="1:3">
      <c r="A43" s="52">
        <v>1988</v>
      </c>
      <c r="B43" s="52">
        <v>8.1</v>
      </c>
      <c r="C43" s="44"/>
    </row>
    <row r="44" spans="1:3">
      <c r="A44" s="52">
        <v>1989</v>
      </c>
      <c r="B44" s="52">
        <v>8.9</v>
      </c>
      <c r="C44" s="44"/>
    </row>
    <row r="45" spans="1:3">
      <c r="A45" s="52">
        <v>1990</v>
      </c>
      <c r="B45" s="52">
        <v>8.1999999999999993</v>
      </c>
      <c r="C45" s="44"/>
    </row>
    <row r="46" spans="1:3">
      <c r="A46" s="52">
        <v>1991</v>
      </c>
      <c r="B46" s="52">
        <v>8.8000000000000007</v>
      </c>
      <c r="C46" s="44"/>
    </row>
    <row r="47" spans="1:3">
      <c r="A47" s="52">
        <v>1992</v>
      </c>
      <c r="B47" s="52">
        <v>9.6</v>
      </c>
      <c r="C47" s="44"/>
    </row>
    <row r="48" spans="1:3">
      <c r="A48" s="52">
        <v>1993</v>
      </c>
      <c r="B48" s="52">
        <v>8.6999999999999993</v>
      </c>
      <c r="C48" s="44"/>
    </row>
    <row r="49" spans="1:3">
      <c r="A49" s="52">
        <v>1994</v>
      </c>
      <c r="B49" s="52">
        <v>6.7</v>
      </c>
      <c r="C49" s="44"/>
    </row>
    <row r="50" spans="1:3">
      <c r="A50" s="52">
        <v>1995</v>
      </c>
      <c r="B50" s="52">
        <v>7.5</v>
      </c>
      <c r="C50" s="44"/>
    </row>
    <row r="51" spans="1:3">
      <c r="A51" s="52">
        <v>1996</v>
      </c>
      <c r="B51" s="52">
        <v>6.5</v>
      </c>
      <c r="C51" s="44"/>
    </row>
    <row r="52" spans="1:3">
      <c r="A52" s="52">
        <v>1997</v>
      </c>
      <c r="B52" s="52">
        <v>6</v>
      </c>
      <c r="C52" s="44"/>
    </row>
    <row r="53" spans="1:3">
      <c r="A53" s="52">
        <v>1998</v>
      </c>
      <c r="B53" s="52">
        <v>7</v>
      </c>
      <c r="C53" s="44"/>
    </row>
    <row r="54" spans="1:3">
      <c r="A54" s="52">
        <v>1999</v>
      </c>
      <c r="B54" s="52">
        <v>5.9</v>
      </c>
      <c r="C54" s="44"/>
    </row>
    <row r="55" spans="1:3">
      <c r="A55" s="52">
        <v>2000</v>
      </c>
      <c r="B55" s="52">
        <v>4.0999999999999996</v>
      </c>
      <c r="C55" s="44"/>
    </row>
    <row r="56" spans="1:3">
      <c r="A56" s="52">
        <v>2001</v>
      </c>
      <c r="B56" s="52">
        <v>4.7</v>
      </c>
      <c r="C56" s="44"/>
    </row>
    <row r="57" spans="1:3">
      <c r="A57" s="52">
        <v>2002</v>
      </c>
      <c r="B57" s="52">
        <v>5.5</v>
      </c>
      <c r="C57" s="44"/>
    </row>
    <row r="58" spans="1:3">
      <c r="A58" s="52">
        <v>2003</v>
      </c>
      <c r="B58" s="52">
        <v>5.0999999999999996</v>
      </c>
      <c r="C58" s="44"/>
    </row>
    <row r="59" spans="1:3">
      <c r="A59" s="52">
        <v>2004</v>
      </c>
      <c r="B59" s="52">
        <v>4.5999999999999996</v>
      </c>
      <c r="C59" s="44"/>
    </row>
    <row r="60" spans="1:3">
      <c r="A60" s="52">
        <v>2005</v>
      </c>
      <c r="B60" s="52">
        <v>2.5</v>
      </c>
      <c r="C60" s="44"/>
    </row>
    <row r="61" spans="1:3">
      <c r="A61" s="52">
        <v>2006</v>
      </c>
      <c r="B61" s="52">
        <v>3.2</v>
      </c>
      <c r="C61" s="44"/>
    </row>
    <row r="62" spans="1:3">
      <c r="A62" s="52">
        <v>2007</v>
      </c>
      <c r="B62" s="52">
        <v>2.7</v>
      </c>
      <c r="C62" s="44"/>
    </row>
    <row r="63" spans="1:3">
      <c r="A63" s="52">
        <v>2008</v>
      </c>
      <c r="B63" s="52">
        <v>2.8</v>
      </c>
      <c r="C63" s="44"/>
    </row>
    <row r="64" spans="1:3">
      <c r="A64" s="52">
        <v>2009</v>
      </c>
      <c r="B64" s="52">
        <v>5.7</v>
      </c>
      <c r="C64" s="44"/>
    </row>
    <row r="65" spans="1:3">
      <c r="A65" s="52">
        <v>2010</v>
      </c>
      <c r="B65" s="52">
        <v>5.4</v>
      </c>
      <c r="C65" s="44"/>
    </row>
    <row r="66" spans="1:3">
      <c r="A66" s="52">
        <v>2011</v>
      </c>
      <c r="B66" s="52">
        <v>6.6</v>
      </c>
      <c r="C66" s="44"/>
    </row>
    <row r="67" spans="1:3">
      <c r="A67" s="52">
        <v>2012</v>
      </c>
      <c r="B67" s="52">
        <v>7.4</v>
      </c>
      <c r="C67" s="44"/>
    </row>
    <row r="68" spans="1:3">
      <c r="A68" s="52">
        <v>2013</v>
      </c>
      <c r="B68" s="52">
        <v>4.8</v>
      </c>
      <c r="C68" s="44"/>
    </row>
    <row r="69" spans="1:3">
      <c r="A69" s="52">
        <v>2014</v>
      </c>
      <c r="B69" s="52">
        <v>5.3</v>
      </c>
      <c r="C69" s="44"/>
    </row>
    <row r="70" spans="1:3">
      <c r="A70" s="52">
        <v>2015</v>
      </c>
      <c r="B70" s="52">
        <v>6.2</v>
      </c>
      <c r="C70" s="44"/>
    </row>
    <row r="71" spans="1:3">
      <c r="A71" s="52">
        <v>2016</v>
      </c>
      <c r="B71" s="52">
        <v>5.9</v>
      </c>
      <c r="C71" s="44"/>
    </row>
    <row r="72" spans="1:3">
      <c r="A72" s="52">
        <v>2017</v>
      </c>
      <c r="B72" s="52">
        <v>5.5</v>
      </c>
      <c r="C72" s="44"/>
    </row>
    <row r="73" spans="1:3">
      <c r="A73" s="52">
        <v>2018</v>
      </c>
      <c r="B73" s="52">
        <v>5.8</v>
      </c>
      <c r="C73" s="44"/>
    </row>
    <row r="74" spans="1:3">
      <c r="A74" s="52">
        <v>2019</v>
      </c>
      <c r="B74" s="52">
        <v>8.1999999999999993</v>
      </c>
      <c r="C74" s="44"/>
    </row>
    <row r="75" spans="1:3">
      <c r="A75" s="52">
        <v>2020</v>
      </c>
      <c r="B75" s="52">
        <v>9.1</v>
      </c>
      <c r="C75" s="44"/>
    </row>
    <row r="76" spans="1:3">
      <c r="A76" s="52">
        <v>2021</v>
      </c>
      <c r="B76" s="52">
        <v>19.899999999999999</v>
      </c>
      <c r="C76" s="44"/>
    </row>
    <row r="77" spans="1:3">
      <c r="A77" s="52">
        <v>2022</v>
      </c>
      <c r="B77" s="52">
        <v>3.9</v>
      </c>
      <c r="C77" s="44"/>
    </row>
    <row r="78" spans="1:3">
      <c r="A78" s="52">
        <v>2023</v>
      </c>
      <c r="B78" s="52">
        <v>4.8</v>
      </c>
      <c r="C78" s="44"/>
    </row>
    <row r="79" spans="1:3">
      <c r="A79" s="52">
        <v>2024</v>
      </c>
      <c r="B79" s="52">
        <v>3.8</v>
      </c>
      <c r="C79" s="44"/>
    </row>
    <row r="80" spans="1:3">
      <c r="A80" s="44"/>
      <c r="B80" s="44"/>
      <c r="C80" s="44"/>
    </row>
    <row r="81" spans="1:3">
      <c r="A81" s="44"/>
      <c r="B81" s="44"/>
      <c r="C81" s="44"/>
    </row>
    <row r="82" spans="1:3">
      <c r="A82" s="44"/>
      <c r="B82" s="44"/>
      <c r="C82" s="44"/>
    </row>
    <row r="83" spans="1:3">
      <c r="A83" s="44"/>
      <c r="B83" s="44"/>
      <c r="C83" s="44"/>
    </row>
    <row r="84" spans="1:3">
      <c r="A84" s="44"/>
      <c r="B84" s="44"/>
      <c r="C84" s="4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28F0-351E-4469-B19D-D078EE081D1C}">
  <dimension ref="A1:B60"/>
  <sheetViews>
    <sheetView topLeftCell="B2" workbookViewId="0">
      <selection activeCell="B2" sqref="B2"/>
    </sheetView>
  </sheetViews>
  <sheetFormatPr defaultRowHeight="15"/>
  <cols>
    <col min="1" max="1" width="10.140625" bestFit="1" customWidth="1"/>
  </cols>
  <sheetData>
    <row r="1" spans="1:2">
      <c r="A1" t="s">
        <v>433</v>
      </c>
      <c r="B1" t="s">
        <v>237</v>
      </c>
    </row>
    <row r="2" spans="1:2">
      <c r="A2">
        <v>1963</v>
      </c>
      <c r="B2">
        <v>37.6</v>
      </c>
    </row>
    <row r="3" spans="1:2">
      <c r="A3">
        <v>1964</v>
      </c>
      <c r="B3">
        <v>38.1</v>
      </c>
    </row>
    <row r="4" spans="1:2">
      <c r="A4">
        <v>1965</v>
      </c>
      <c r="B4">
        <v>37.5</v>
      </c>
    </row>
    <row r="5" spans="1:2">
      <c r="A5">
        <v>1966</v>
      </c>
      <c r="B5">
        <v>37.799999999999997</v>
      </c>
    </row>
    <row r="6" spans="1:2">
      <c r="A6">
        <v>1967</v>
      </c>
      <c r="B6">
        <v>36.9</v>
      </c>
    </row>
    <row r="7" spans="1:2">
      <c r="A7">
        <v>1968</v>
      </c>
      <c r="B7">
        <v>36.299999999999997</v>
      </c>
    </row>
    <row r="8" spans="1:2">
      <c r="A8">
        <v>1969</v>
      </c>
      <c r="B8">
        <v>36</v>
      </c>
    </row>
    <row r="9" spans="1:2">
      <c r="A9">
        <v>1970</v>
      </c>
      <c r="B9">
        <v>36.6</v>
      </c>
    </row>
    <row r="10" spans="1:2">
      <c r="A10">
        <v>1971</v>
      </c>
      <c r="B10">
        <v>36.9</v>
      </c>
    </row>
    <row r="11" spans="1:2">
      <c r="A11">
        <v>1972</v>
      </c>
      <c r="B11">
        <v>36.700000000000003</v>
      </c>
    </row>
    <row r="12" spans="1:2">
      <c r="A12">
        <v>1973</v>
      </c>
      <c r="B12">
        <v>36.1</v>
      </c>
    </row>
    <row r="13" spans="1:2">
      <c r="A13">
        <v>1974</v>
      </c>
      <c r="B13">
        <v>35.5</v>
      </c>
    </row>
    <row r="14" spans="1:2">
      <c r="A14">
        <v>1975</v>
      </c>
      <c r="B14">
        <v>35.700000000000003</v>
      </c>
    </row>
    <row r="15" spans="1:2">
      <c r="A15">
        <v>1976</v>
      </c>
      <c r="B15">
        <v>35.6</v>
      </c>
    </row>
    <row r="16" spans="1:2">
      <c r="A16">
        <v>1977</v>
      </c>
      <c r="B16">
        <v>35.5</v>
      </c>
    </row>
    <row r="17" spans="1:2">
      <c r="A17">
        <v>1978</v>
      </c>
      <c r="B17">
        <v>34.799999999999997</v>
      </c>
    </row>
    <row r="18" spans="1:2">
      <c r="A18">
        <v>1979</v>
      </c>
      <c r="B18">
        <v>34.799999999999997</v>
      </c>
    </row>
    <row r="19" spans="1:2">
      <c r="A19">
        <v>1980</v>
      </c>
      <c r="B19">
        <v>34.700000000000003</v>
      </c>
    </row>
    <row r="20" spans="1:2">
      <c r="A20">
        <v>1981</v>
      </c>
      <c r="B20">
        <v>35.5</v>
      </c>
    </row>
    <row r="21" spans="1:2">
      <c r="A21">
        <v>1982</v>
      </c>
      <c r="B21">
        <v>36.700000000000003</v>
      </c>
    </row>
    <row r="22" spans="1:2">
      <c r="A22">
        <v>1983</v>
      </c>
      <c r="B22">
        <v>37.299999999999997</v>
      </c>
    </row>
    <row r="23" spans="1:2">
      <c r="A23">
        <v>1984</v>
      </c>
      <c r="B23">
        <v>37.299999999999997</v>
      </c>
    </row>
    <row r="24" spans="1:2">
      <c r="A24">
        <v>1985</v>
      </c>
      <c r="B24">
        <v>37.6</v>
      </c>
    </row>
    <row r="25" spans="1:2">
      <c r="A25">
        <v>1986</v>
      </c>
      <c r="B25">
        <v>37.6</v>
      </c>
    </row>
    <row r="26" spans="1:2">
      <c r="A26">
        <v>1987</v>
      </c>
      <c r="B26">
        <v>37.200000000000003</v>
      </c>
    </row>
    <row r="27" spans="1:2">
      <c r="A27">
        <v>1988</v>
      </c>
      <c r="B27">
        <v>37.700000000000003</v>
      </c>
    </row>
    <row r="28" spans="1:2">
      <c r="A28">
        <v>1989</v>
      </c>
      <c r="B28">
        <v>38.200000000000003</v>
      </c>
    </row>
    <row r="29" spans="1:2">
      <c r="A29">
        <v>1990</v>
      </c>
      <c r="B29">
        <v>38.299999999999997</v>
      </c>
    </row>
    <row r="30" spans="1:2">
      <c r="A30">
        <v>1991</v>
      </c>
      <c r="B30">
        <v>38</v>
      </c>
    </row>
    <row r="31" spans="1:2">
      <c r="A31">
        <v>1992</v>
      </c>
      <c r="B31">
        <v>38.4</v>
      </c>
    </row>
    <row r="32" spans="1:2">
      <c r="A32">
        <v>1993</v>
      </c>
      <c r="B32">
        <v>40.4</v>
      </c>
    </row>
    <row r="33" spans="1:2">
      <c r="A33">
        <v>1994</v>
      </c>
      <c r="B33">
        <v>40</v>
      </c>
    </row>
    <row r="34" spans="1:2">
      <c r="A34">
        <v>1995</v>
      </c>
      <c r="B34">
        <v>39.9</v>
      </c>
    </row>
    <row r="35" spans="1:2">
      <c r="A35">
        <v>1996</v>
      </c>
      <c r="B35">
        <v>40.299999999999997</v>
      </c>
    </row>
    <row r="36" spans="1:2">
      <c r="A36">
        <v>1997</v>
      </c>
      <c r="B36">
        <v>40.5</v>
      </c>
    </row>
    <row r="37" spans="1:2">
      <c r="A37">
        <v>1998</v>
      </c>
      <c r="B37">
        <v>40</v>
      </c>
    </row>
    <row r="38" spans="1:2">
      <c r="A38">
        <v>1999</v>
      </c>
      <c r="B38">
        <v>40</v>
      </c>
    </row>
    <row r="39" spans="1:2">
      <c r="A39">
        <v>2000</v>
      </c>
      <c r="B39">
        <v>40.1</v>
      </c>
    </row>
    <row r="40" spans="1:2">
      <c r="A40">
        <v>2001</v>
      </c>
      <c r="B40">
        <v>40.6</v>
      </c>
    </row>
    <row r="41" spans="1:2">
      <c r="A41">
        <v>2002</v>
      </c>
      <c r="B41">
        <v>40.4</v>
      </c>
    </row>
    <row r="42" spans="1:2">
      <c r="A42">
        <v>2003</v>
      </c>
      <c r="B42">
        <v>40.799999999999997</v>
      </c>
    </row>
    <row r="43" spans="1:2">
      <c r="A43">
        <v>2004</v>
      </c>
      <c r="B43">
        <v>40.299999999999997</v>
      </c>
    </row>
    <row r="44" spans="1:2">
      <c r="A44">
        <v>2005</v>
      </c>
      <c r="B44">
        <v>41</v>
      </c>
    </row>
    <row r="45" spans="1:2">
      <c r="A45">
        <v>2006</v>
      </c>
      <c r="B45">
        <v>41.4</v>
      </c>
    </row>
    <row r="46" spans="1:2">
      <c r="A46">
        <v>2007</v>
      </c>
      <c r="B46">
        <v>40.799999999999997</v>
      </c>
    </row>
    <row r="47" spans="1:2">
      <c r="A47">
        <v>2008</v>
      </c>
      <c r="B47">
        <v>40.799999999999997</v>
      </c>
    </row>
    <row r="48" spans="1:2">
      <c r="A48">
        <v>2009</v>
      </c>
      <c r="B48">
        <v>40.6</v>
      </c>
    </row>
    <row r="49" spans="1:2">
      <c r="A49">
        <v>2010</v>
      </c>
      <c r="B49">
        <v>40</v>
      </c>
    </row>
    <row r="50" spans="1:2">
      <c r="A50">
        <v>2011</v>
      </c>
      <c r="B50">
        <v>40.9</v>
      </c>
    </row>
    <row r="51" spans="1:2">
      <c r="A51">
        <v>2012</v>
      </c>
      <c r="B51">
        <v>40.9</v>
      </c>
    </row>
    <row r="52" spans="1:2">
      <c r="A52">
        <v>2013</v>
      </c>
      <c r="B52">
        <v>40.700000000000003</v>
      </c>
    </row>
    <row r="53" spans="1:2">
      <c r="A53">
        <v>2014</v>
      </c>
      <c r="B53">
        <v>41.5</v>
      </c>
    </row>
    <row r="54" spans="1:2">
      <c r="A54">
        <v>2015</v>
      </c>
      <c r="B54">
        <v>41.2</v>
      </c>
    </row>
    <row r="55" spans="1:2">
      <c r="A55">
        <v>2016</v>
      </c>
      <c r="B55">
        <v>41.1</v>
      </c>
    </row>
    <row r="56" spans="1:2">
      <c r="A56">
        <v>2017</v>
      </c>
      <c r="B56">
        <v>41.2</v>
      </c>
    </row>
    <row r="57" spans="1:2">
      <c r="A57">
        <v>2018</v>
      </c>
      <c r="B57">
        <v>41.4</v>
      </c>
    </row>
    <row r="58" spans="1:2">
      <c r="A58">
        <v>2019</v>
      </c>
      <c r="B58">
        <v>41.5</v>
      </c>
    </row>
    <row r="59" spans="1:2">
      <c r="A59">
        <v>2020</v>
      </c>
      <c r="B59">
        <v>39.700000000000003</v>
      </c>
    </row>
    <row r="60" spans="1:2">
      <c r="A60">
        <v>2021</v>
      </c>
      <c r="B60">
        <v>39.799999999999997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989B5-5606-4E21-A652-056525B11BBD}">
  <dimension ref="A1:C37"/>
  <sheetViews>
    <sheetView workbookViewId="0">
      <selection activeCell="K12" sqref="K12"/>
    </sheetView>
  </sheetViews>
  <sheetFormatPr defaultRowHeight="15"/>
  <sheetData>
    <row r="1" spans="1:3">
      <c r="A1" t="s">
        <v>433</v>
      </c>
      <c r="B1" t="s">
        <v>462</v>
      </c>
      <c r="C1" t="s">
        <v>463</v>
      </c>
    </row>
    <row r="2" spans="1:3">
      <c r="A2" s="44">
        <v>1989</v>
      </c>
      <c r="B2" s="53">
        <v>3.5</v>
      </c>
      <c r="C2" s="52">
        <v>22.8</v>
      </c>
    </row>
    <row r="3" spans="1:3">
      <c r="A3" s="44">
        <f>A2 +1</f>
        <v>1990</v>
      </c>
      <c r="B3" s="53">
        <v>3.5</v>
      </c>
      <c r="C3" s="52">
        <v>23</v>
      </c>
    </row>
    <row r="4" spans="1:3">
      <c r="A4" s="44">
        <f t="shared" ref="A4:A36" si="0">A3 +1</f>
        <v>1991</v>
      </c>
      <c r="B4" s="53">
        <v>3.7</v>
      </c>
      <c r="C4" s="52">
        <v>22.9</v>
      </c>
    </row>
    <row r="5" spans="1:3">
      <c r="A5" s="44">
        <f t="shared" si="0"/>
        <v>1992</v>
      </c>
      <c r="B5" s="53">
        <v>4</v>
      </c>
      <c r="C5" s="52">
        <v>23.6</v>
      </c>
    </row>
    <row r="6" spans="1:3">
      <c r="A6" s="44">
        <f t="shared" si="0"/>
        <v>1993</v>
      </c>
      <c r="B6" s="53">
        <v>3.7</v>
      </c>
      <c r="C6" s="52">
        <v>23.5</v>
      </c>
    </row>
    <row r="7" spans="1:3">
      <c r="A7" s="44">
        <f t="shared" si="0"/>
        <v>1994</v>
      </c>
      <c r="B7" s="53">
        <v>3.5</v>
      </c>
      <c r="C7" s="52">
        <v>24.9</v>
      </c>
    </row>
    <row r="8" spans="1:3">
      <c r="A8" s="44">
        <f t="shared" si="0"/>
        <v>1995</v>
      </c>
      <c r="B8" s="53">
        <v>3.6</v>
      </c>
      <c r="C8" s="52">
        <v>26.1</v>
      </c>
    </row>
    <row r="9" spans="1:3">
      <c r="A9" s="44">
        <f t="shared" si="0"/>
        <v>1996</v>
      </c>
      <c r="B9" s="53">
        <v>3.4</v>
      </c>
      <c r="C9" s="52">
        <v>27.6</v>
      </c>
    </row>
    <row r="10" spans="1:3">
      <c r="A10" s="44">
        <f t="shared" si="0"/>
        <v>1997</v>
      </c>
      <c r="B10" s="53">
        <v>3.3</v>
      </c>
      <c r="C10" s="52">
        <v>27.3</v>
      </c>
    </row>
    <row r="11" spans="1:3">
      <c r="A11" s="44">
        <f t="shared" si="0"/>
        <v>1998</v>
      </c>
      <c r="B11" s="53">
        <v>3.4</v>
      </c>
      <c r="C11" s="52">
        <v>27.5</v>
      </c>
    </row>
    <row r="12" spans="1:3">
      <c r="A12" s="44">
        <f t="shared" si="0"/>
        <v>1999</v>
      </c>
      <c r="B12" s="53">
        <v>3.2</v>
      </c>
      <c r="C12" s="52">
        <v>27.6</v>
      </c>
    </row>
    <row r="13" spans="1:3">
      <c r="A13" s="44">
        <f t="shared" si="0"/>
        <v>2000</v>
      </c>
      <c r="B13" s="53">
        <v>3.2</v>
      </c>
      <c r="C13" s="52">
        <v>28</v>
      </c>
    </row>
    <row r="14" spans="1:3">
      <c r="A14" s="44">
        <f t="shared" si="0"/>
        <v>2001</v>
      </c>
      <c r="B14" s="53">
        <v>3.1</v>
      </c>
      <c r="C14" s="52">
        <v>26.9</v>
      </c>
    </row>
    <row r="15" spans="1:3">
      <c r="A15" s="44">
        <f t="shared" si="0"/>
        <v>2002</v>
      </c>
      <c r="B15" s="53">
        <v>3</v>
      </c>
      <c r="C15" s="52">
        <v>25.9</v>
      </c>
    </row>
    <row r="16" spans="1:3">
      <c r="A16" s="44">
        <f t="shared" si="0"/>
        <v>2003</v>
      </c>
      <c r="B16" s="53">
        <v>2.6</v>
      </c>
      <c r="C16" s="52">
        <v>25</v>
      </c>
    </row>
    <row r="17" spans="1:3">
      <c r="A17" s="44">
        <f t="shared" si="0"/>
        <v>2004</v>
      </c>
      <c r="B17" s="53">
        <v>2.4</v>
      </c>
      <c r="C17" s="52">
        <v>26</v>
      </c>
    </row>
    <row r="18" spans="1:3">
      <c r="A18" s="44">
        <f t="shared" si="0"/>
        <v>2005</v>
      </c>
      <c r="B18" s="53">
        <v>2.4</v>
      </c>
      <c r="C18" s="52">
        <v>27.1</v>
      </c>
    </row>
    <row r="19" spans="1:3">
      <c r="A19" s="44">
        <f t="shared" si="0"/>
        <v>2006</v>
      </c>
      <c r="B19" s="53">
        <v>2.2999999999999998</v>
      </c>
      <c r="C19" s="52">
        <v>27.3</v>
      </c>
    </row>
    <row r="20" spans="1:3">
      <c r="A20" s="44">
        <f t="shared" si="0"/>
        <v>2007</v>
      </c>
      <c r="B20" s="53">
        <v>1.9</v>
      </c>
      <c r="C20" s="52">
        <v>28.3</v>
      </c>
    </row>
    <row r="21" spans="1:3">
      <c r="A21" s="44">
        <f t="shared" si="0"/>
        <v>2008</v>
      </c>
      <c r="B21" s="53">
        <v>1.2</v>
      </c>
      <c r="C21" s="52">
        <v>29</v>
      </c>
    </row>
    <row r="22" spans="1:3">
      <c r="A22" s="44">
        <f t="shared" si="0"/>
        <v>2009</v>
      </c>
      <c r="B22" s="53">
        <v>0.7</v>
      </c>
      <c r="C22" s="52">
        <v>27.8</v>
      </c>
    </row>
    <row r="23" spans="1:3">
      <c r="A23" s="44">
        <f t="shared" si="0"/>
        <v>2010</v>
      </c>
      <c r="B23" s="53">
        <v>0.5</v>
      </c>
      <c r="C23" s="52">
        <v>28.1</v>
      </c>
    </row>
    <row r="24" spans="1:3">
      <c r="A24" s="44">
        <f t="shared" si="0"/>
        <v>2011</v>
      </c>
      <c r="B24" s="53">
        <v>0.4</v>
      </c>
      <c r="C24" s="52">
        <v>28.9</v>
      </c>
    </row>
    <row r="25" spans="1:3">
      <c r="A25" s="44">
        <f t="shared" si="0"/>
        <v>2012</v>
      </c>
      <c r="B25" s="53">
        <v>0.6</v>
      </c>
      <c r="C25" s="52">
        <v>29.1</v>
      </c>
    </row>
    <row r="26" spans="1:3">
      <c r="A26" s="44">
        <f t="shared" si="0"/>
        <v>2013</v>
      </c>
      <c r="B26" s="53">
        <v>0.9</v>
      </c>
      <c r="C26" s="52">
        <v>29.8</v>
      </c>
    </row>
    <row r="27" spans="1:3">
      <c r="A27" s="44">
        <f t="shared" si="0"/>
        <v>2014</v>
      </c>
      <c r="B27" s="53">
        <v>1</v>
      </c>
      <c r="C27" s="52">
        <v>29.9</v>
      </c>
    </row>
    <row r="28" spans="1:3">
      <c r="A28" s="44">
        <f t="shared" si="0"/>
        <v>2015</v>
      </c>
      <c r="B28" s="53">
        <v>1.1000000000000001</v>
      </c>
      <c r="C28" s="52">
        <v>30.7</v>
      </c>
    </row>
    <row r="29" spans="1:3">
      <c r="A29" s="44">
        <f t="shared" si="0"/>
        <v>2016</v>
      </c>
      <c r="B29" s="53">
        <v>1.3</v>
      </c>
      <c r="C29" s="52">
        <v>30.6</v>
      </c>
    </row>
    <row r="30" spans="1:3">
      <c r="A30" s="44">
        <f t="shared" si="0"/>
        <v>2017</v>
      </c>
      <c r="B30" s="53">
        <v>1.4</v>
      </c>
      <c r="C30" s="52">
        <v>30.7</v>
      </c>
    </row>
    <row r="31" spans="1:3">
      <c r="A31" s="44">
        <f t="shared" si="0"/>
        <v>2018</v>
      </c>
      <c r="B31" s="53">
        <v>1.6</v>
      </c>
      <c r="C31" s="52">
        <v>30.7</v>
      </c>
    </row>
    <row r="32" spans="1:3">
      <c r="A32" s="44">
        <f t="shared" si="0"/>
        <v>2019</v>
      </c>
      <c r="B32" s="53">
        <v>1.7</v>
      </c>
      <c r="C32" s="52">
        <v>29.8</v>
      </c>
    </row>
    <row r="33" spans="1:3">
      <c r="A33" s="44">
        <f t="shared" si="0"/>
        <v>2020</v>
      </c>
      <c r="B33" s="53">
        <v>2.1</v>
      </c>
      <c r="C33" s="52">
        <v>30.4</v>
      </c>
    </row>
    <row r="34" spans="1:3">
      <c r="A34" s="44">
        <f t="shared" si="0"/>
        <v>2021</v>
      </c>
      <c r="B34" s="53">
        <v>2.4</v>
      </c>
      <c r="C34" s="52">
        <v>30.6</v>
      </c>
    </row>
    <row r="35" spans="1:3">
      <c r="A35" s="44">
        <f t="shared" si="0"/>
        <v>2022</v>
      </c>
      <c r="B35" s="53">
        <v>2.7</v>
      </c>
      <c r="C35" s="52">
        <v>30.9</v>
      </c>
    </row>
    <row r="36" spans="1:3">
      <c r="A36" s="44">
        <f t="shared" si="0"/>
        <v>2023</v>
      </c>
      <c r="B36" s="53">
        <v>2.5</v>
      </c>
      <c r="C36" s="52">
        <v>29.7</v>
      </c>
    </row>
    <row r="37" spans="1:3">
      <c r="A37">
        <v>2024</v>
      </c>
      <c r="B37">
        <v>2.5</v>
      </c>
      <c r="C37" s="52">
        <v>30.2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2024-07-24T15:03:58Z</dcterms:created>
  <dcterms:modified xsi:type="dcterms:W3CDTF">2024-07-26T20:27:20Z</dcterms:modified>
  <cp:category/>
  <cp:contentStatus/>
</cp:coreProperties>
</file>